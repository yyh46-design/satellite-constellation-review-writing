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594eda29f54ba4" /></Relationships>
</file>

<file path=xl/workbook.xml><?xml version="1.0" encoding="utf-8"?>
<x:workbook xmlns:x="http://schemas.openxmlformats.org/spreadsheetml/2006/main">
  <x:sheets>
    <x:sheet xmlns:r="http://schemas.openxmlformats.org/officeDocument/2006/relationships" name="章节与研究问题" sheetId="1" r:id="Ree11e26e94aa4b41"/>
    <x:sheet xmlns:r="http://schemas.openxmlformats.org/officeDocument/2006/relationships" name="148篇文献证据对应" sheetId="2" r:id="R2a770b03bb81409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7">
    <x:font>
      <x:sz val="11"/>
      <x:name val="Carlito"/>
    </x:font>
    <x:font>
      <x:b/>
      <x:sz val="16"/>
      <x:color rgb="FF243A59"/>
      <x:name val="Arial"/>
    </x:font>
    <x:font>
      <x:i/>
      <x:sz val="11"/>
      <x:color rgb="FF56647A"/>
      <x:name val="Arial"/>
    </x:font>
    <x:font>
      <x:sz val="11"/>
      <x:color rgb="FF25334A"/>
      <x:name val="Arial"/>
    </x:font>
    <x:font>
      <x:b/>
      <x:sz val="11"/>
      <x:color rgb="FFFFFFFF"/>
      <x:name val="Arial"/>
    </x:font>
    <x:font>
      <x:sz val="11"/>
      <x:color rgb="FF14589A"/>
      <x:name val="Arial"/>
    </x:font>
    <x:font>
      <x:sz val="11"/>
      <x:color rgb="FF56647A"/>
      <x:name val="Arial"/>
    </x:font>
  </x:fonts>
  <x:fills count="5">
    <x:fill>
      <x:patternFill patternType="none"/>
    </x:fill>
    <x:fill>
      <x:patternFill patternType="gray125"/>
    </x:fill>
    <x:fill>
      <x:patternFill patternType="solid">
        <x:fgColor rgb="FF243A59"/>
      </x:patternFill>
    </x:fill>
    <x:fill>
      <x:patternFill patternType="solid">
        <x:fgColor rgb="FFFFFFFF"/>
      </x:patternFill>
    </x:fill>
    <x:fill>
      <x:patternFill patternType="solid">
        <x:fgColor rgb="FFFFF5DA"/>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3" fillId="0" borderId="0" xfId="0" applyNumberFormat="1" applyFont="1" applyFill="1" applyBorder="1" applyAlignment="1">
      <x:alignment horizontal="center" vertical="top" wrapText="1"/>
    </x:xf>
    <x:xf numFmtId="0" fontId="6" fillId="0" borderId="0" xfId="0" applyNumberFormat="1" applyFont="1" applyFill="1" applyBorder="1"/>
    <x:xf numFmtId="0" fontId="6" fillId="0" borderId="0" xfId="0" applyNumberFormat="1" applyFont="1" applyFill="1" applyBorder="1" applyAlignment="1">
      <x:alignment wrapText="0"/>
    </x:xf>
  </x:cellXfs>
  <x:cellStyles count="1">
    <x:cellStyle name="Normal" xfId="0"/>
  </x:cellStyles>
  <x:dxfs count="2">
    <x:dxf>
      <x:font>
        <x:color rgb="FF795214"/>
      </x:font>
      <x:fill>
        <x:patternFill patternType="solid">
          <x:bgColor rgb="FFFFF0CF"/>
        </x:patternFill>
      </x:fill>
    </x:dxf>
    <x:dxf>
      <x:font>
        <x:color rgb="FF335847"/>
      </x:font>
      <x:fill>
        <x:patternFill patternType="solid">
          <x:bgColor rgb="FFE7F0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8611aa0f274a88" /><Relationship Type="http://schemas.openxmlformats.org/officeDocument/2006/relationships/theme" Target="/xl/theme/theme1.xml" Id="Ra6e3c81550544b61" /><Relationship Type="http://schemas.openxmlformats.org/officeDocument/2006/relationships/sharedStrings" Target="/xl/sharedStrings.xml" Id="R822dc83fde034c84" /><Relationship Type="http://schemas.openxmlformats.org/officeDocument/2006/relationships/worksheet" Target="/xl/worksheets/sheet1.xml" Id="Ree11e26e94aa4b41" /><Relationship Type="http://schemas.openxmlformats.org/officeDocument/2006/relationships/worksheet" Target="/xl/worksheets/sheet2.xml" Id="R2a770b03bb814093" /></Relationships>
</file>

<file path=xl/tables/table1.xml><?xml version="1.0" encoding="utf-8"?>
<x:table xmlns:x="http://schemas.openxmlformats.org/spreadsheetml/2006/main" id="2" name="FiveChapterPlan" displayName="FiveChapterPlan" ref="A5:F10" headerRowCount="1" totalsRowCount="0" totalsRowShown="0">
  <x:autoFilter ref="A5:F10"/>
  <x:tableColumns count="6">
    <x:tableColumn id="1" name="章"/>
    <x:tableColumn id="2" name="一级标题"/>
    <x:tableColumn id="3" name="论证任务"/>
    <x:tableColumn id="4" name="主用文献数"/>
    <x:tableColumn id="5" name="计划图表"/>
    <x:tableColumn id="6" name="写作说明"/>
  </x:tableColumns>
  <x:tableStyleInfo name="TableStyleMedium2" showFirstColumn="0" showLastColumn="0" showRowStripes="1" showColumnStripes="0"/>
</x:table>
</file>

<file path=xl/tables/table2.xml><?xml version="1.0" encoding="utf-8"?>
<x:table xmlns:x="http://schemas.openxmlformats.org/spreadsheetml/2006/main" id="3" name="ResearchQuestionMap25" displayName="ResearchQuestionMap25" ref="A15:J40" headerRowCount="1" totalsRowCount="0" totalsRowShown="0">
  <x:autoFilter ref="A15:J40"/>
  <x:tableColumns count="10">
    <x:tableColumn id="1" name="问题ID"/>
    <x:tableColumn id="2" name="主用章节或小节"/>
    <x:tableColumn id="3" name="本节拟回答的问题"/>
    <x:tableColumn id="4" name="比较维度"/>
    <x:tableColumn id="5" name="拟写作任务"/>
    <x:tableColumn id="6" name="关联文献ID（本轮）"/>
    <x:tableColumn id="7" name="优先候选ID（本轮）"/>
    <x:tableColumn id="8" name="需从原文提取的证据"/>
    <x:tableColumn id="9" name="比较与证据边界"/>
    <x:tableColumn id="10" name="计划图表"/>
  </x:tableColumns>
  <x:tableStyleInfo name="TableStyleMedium2" showFirstColumn="0" showLastColumn="0" showRowStripes="1" showColumnStripes="0"/>
</x:table>
</file>

<file path=xl/tables/table3.xml><?xml version="1.0" encoding="utf-8"?>
<x:table xmlns:x="http://schemas.openxmlformats.org/spreadsheetml/2006/main" id="1" name="LiteratureEvidence148" displayName="LiteratureEvidence148" ref="A5:Y153" headerRowCount="1" totalsRowCount="0" totalsRowShown="0">
  <x:autoFilter ref="A5:Y153"/>
  <x:tableColumns count="25">
    <x:tableColumn id="1" name="ID"/>
    <x:tableColumn id="2" name="主用章节或小节"/>
    <x:tableColumn id="3" name="辅助章节或小节"/>
    <x:tableColumn id="4" name="研究问题ID"/>
    <x:tableColumn id="5" name="论文研究问题或综述范围"/>
    <x:tableColumn id="6" name="英文原标题或官方对应题名"/>
    <x:tableColumn id="7" name="中文译名或原文题名"/>
    <x:tableColumn id="8" name="DOI"/>
    <x:tableColumn id="9" name="年份"/>
    <x:tableColumn id="10" name="期刊或会议"/>
    <x:tableColumn id="11" name="模型与方法"/>
    <x:tableColumn id="12" name="关键假设与约束"/>
    <x:tableColumn id="13" name="证据类型及范围"/>
    <x:tableColumn id="14" name="内容提取依据"/>
    <x:tableColumn id="15" name="阅读与核查状态"/>
    <x:tableColumn id="16" name="已核或待核原文位置"/>
    <x:tableColumn id="17" name="拟写作用途"/>
    <x:tableColumn id="18" name="适用限制与待核事项"/>
    <x:tableColumn id="19" name="精读安排"/>
    <x:tableColumn id="20" name="全文核查重点问题"/>
    <x:tableColumn id="21" name="Column21"/>
    <x:tableColumn id="22" name="一手来源与作者公开稿"/>
    <x:tableColumn id="23" name="本轮局部核查日期"/>
    <x:tableColumn id="24" name="作者复核记录（可填）"/>
    <x:tableColumn id="25" name="文献类别"/>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10a87c02f5466f" /><Relationship Type="http://schemas.openxmlformats.org/officeDocument/2006/relationships/table" Target="/xl/tables/table2.xml" Id="Rfdc3cc89f6174d72" /></Relationships>
</file>

<file path=xl/worksheets/_rels/sheet2.xml.rels>&#65279;<?xml version="1.0" encoding="utf-8"?><Relationships xmlns="http://schemas.openxmlformats.org/package/2006/relationships"><Relationship Type="http://schemas.openxmlformats.org/officeDocument/2006/relationships/table" Target="/xl/tables/table3.xml" Id="Rae4ef08a65254bfa" /></Relationships>
</file>

<file path=xl/worksheets/sheet1.xml><?xml version="1.0" encoding="utf-8"?>
<x:worksheet xmlns:x="http://schemas.openxmlformats.org/spreadsheetml/2006/main">
  <x:sheetPr>
    <x:tabColor rgb="FF243A59"/>
  </x:sheetPr>
  <x:sheetViews>
    <x:sheetView showGridLines="0" workbookViewId="0">
      <x:pane xSplit="2" ySplit="15" topLeftCell="C16" activePane="bottomRight" state="frozen"/>
    </x:sheetView>
  </x:sheetViews>
  <x:sheetFormatPr defaultRowHeight="15"/>
  <x:cols>
    <x:col min="1" max="1" width="9" hidden="0" customWidth="1"/>
    <x:col min="2" max="2" width="35" hidden="0" customWidth="1"/>
    <x:col min="3" max="3" width="62" hidden="0" customWidth="1"/>
    <x:col min="4" max="4" width="62" hidden="0" customWidth="1"/>
    <x:col min="5" max="5" width="64" hidden="0" customWidth="1"/>
    <x:col min="6" max="6" width="65" hidden="0" customWidth="1"/>
    <x:col min="7" max="7" width="37" hidden="0" customWidth="1"/>
    <x:col min="8" max="8" width="85" hidden="0" customWidth="1"/>
    <x:col min="9" max="9" width="85" hidden="0" customWidth="1"/>
    <x:col min="10" max="10" width="48" hidden="0" customWidth="1"/>
  </x:cols>
  <x:sheetData>
    <x:row r="2" ht="26" customHeight="1">
      <x:c r="A2" s="2" t="str">
        <x:v>五章综述：研究问题与文献对应</x:v>
      </x:c>
    </x:row>
    <x:row r="3" ht="22" customHeight="1">
      <x:c r="A3" s="4" t="str">
        <x:v>问题ID用于归类，不增加目录层级。文献ID清单为本轮映射，包含跨小节辅助用途。</x:v>
      </x:c>
    </x:row>
    <x:row r="5" ht="34" customHeight="1">
      <x:c r="A5" s="11" t="str">
        <x:v>章</x:v>
      </x:c>
      <x:c r="B5" s="11" t="str">
        <x:v>一级标题</x:v>
      </x:c>
      <x:c r="C5" s="11" t="str">
        <x:v>论证任务</x:v>
      </x:c>
      <x:c r="D5" s="11" t="str">
        <x:v>主用文献数</x:v>
      </x:c>
      <x:c r="E5" s="11" t="str">
        <x:v>计划图表</x:v>
      </x:c>
      <x:c r="F5" s="11" t="str">
        <x:v>写作说明</x:v>
      </x:c>
    </x:row>
    <x:row r="6" ht="38" customHeight="1">
      <x:c r="A6" s="7" t="str">
        <x:v>1</x:v>
      </x:c>
      <x:c r="B6" s="7" t="str">
        <x:v>引言</x:v>
      </x:c>
      <x:c r="C6" s="7" t="str">
        <x:v>选题范围、既有综述与拟议贡献</x:v>
      </x:c>
      <x:c r="D6" s="18" t="n">
        <x:f>COUNTIFS('148篇文献证据对应'!$B$6:$B$153,"1 引言")</x:f>
        <x:v>4</x:v>
      </x:c>
      <x:c r="E6" s="7" t="str">
        <x:v>综述覆盖矩阵</x:v>
      </x:c>
      <x:c r="F6" s="7" t="str">
        <x:v>检索方法与范围需在写作时补齐。</x:v>
      </x:c>
    </x:row>
    <x:row r="7" ht="38" customHeight="1">
      <x:c r="A7" s="7" t="str">
        <x:v>2</x:v>
      </x:c>
      <x:c r="B7" s="7" t="str">
        <x:v>系统框架与问题建模</x:v>
      </x:c>
      <x:c r="C7" s="7" t="str">
        <x:v>状态、对象、层级、接口、共性目标与约束</x:v>
      </x:c>
      <x:c r="D7" s="18" t="n">
        <x:f>COUNTIFS('148篇文献证据对应'!$B$6:$B$153,"2 系统框架与问题建模")</x:f>
        <x:v>16</x:v>
      </x:c>
      <x:c r="E7" s="7" t="str">
        <x:v>系统框架图</x:v>
      </x:c>
      <x:c r="F7" s="7" t="str">
        <x:v>第3章再展开具体方法。</x:v>
      </x:c>
    </x:row>
    <x:row r="8" ht="38" customHeight="1">
      <x:c r="A8" s="7" t="str">
        <x:v>3</x:v>
      </x:c>
      <x:c r="B8" s="7" t="str">
        <x:v>多层次管理、调度与执行方法</x:v>
      </x:c>
      <x:c r="C8" s="7" t="str">
        <x:v>长期配置、动态调度、安全执行、跨层协同</x:v>
      </x:c>
      <x:c r="D8" s="18" t="n">
        <x:f>COUNTIFS('148篇文献证据对应'!$B$6:$B$153,"3.1 长期能力配置与运维决策")+COUNTIFS('148篇文献证据对应'!$B$6:$B$153,"3.2 动态任务与多资源联合调度")+COUNTIFS('148篇文献证据对应'!$B$6:$B$153,"3.3 安全执行与异常恢复")+COUNTIFS('148篇文献证据对应'!$B$6:$B$153,"3.4 跨层耦合与闭环协同")</x:f>
        <x:v>122</x:v>
      </x:c>
      <x:c r="E8" s="7" t="str">
        <x:v>专题方法与接口表</x:v>
      </x:c>
      <x:c r="F8" s="7" t="str">
        <x:v>沿用3.1至3.4四个小节。</x:v>
      </x:c>
    </x:row>
    <x:row r="9" ht="38" customHeight="1">
      <x:c r="A9" s="7" t="str">
        <x:v>4</x:v>
      </x:c>
      <x:c r="B9" s="7" t="str">
        <x:v>综合评价与研究展望</x:v>
      </x:c>
      <x:c r="C9" s="7" t="str">
        <x:v>比较条件、验证范围、可复现性与研究问题</x:v>
      </x:c>
      <x:c r="D9" s="18" t="n">
        <x:f>COUNTIFS('148篇文献证据对应'!$B$6:$B$153,"4 综合评价与研究展望")</x:f>
        <x:v>6</x:v>
      </x:c>
      <x:c r="E9" s="7" t="str">
        <x:v>评价及证据矩阵</x:v>
      </x:c>
      <x:c r="F9" s="7" t="str">
        <x:v>多数文献也可辅助本章，主用数量不代表全部引用。</x:v>
      </x:c>
    </x:row>
    <x:row r="10" ht="38" customHeight="1">
      <x:c r="A10" s="7" t="str">
        <x:v>5</x:v>
      </x:c>
      <x:c r="B10" s="7" t="str">
        <x:v>结论</x:v>
      </x:c>
      <x:c r="C10" s="7" t="str">
        <x:v>回答核心问题，保留证据适用范围</x:v>
      </x:c>
      <x:c r="D10" s="18" t="n">
        <x:f>COUNTIFS('148篇文献证据对应'!$B$6:$B$153,"5 结论")</x:f>
        <x:v>0</x:v>
      </x:c>
      <x:c r="E10" s="7" t="str">
        <x:v>不新增图表</x:v>
      </x:c>
      <x:c r="F10" s="7" t="str">
        <x:v>承接前文已核证据，不单设独立文献池。</x:v>
      </x:c>
    </x:row>
    <x:row r="12" ht="22" customHeight="1">
      <x:c r="A12" s="20" t="str">
        <x:v>原文位置未取得时保留待核，不依据题名或摘要填入精确页码及性能结论。</x:v>
      </x:c>
    </x:row>
    <x:row r="15" ht="34" customHeight="1">
      <x:c r="A15" s="11" t="str">
        <x:v>问题ID</x:v>
      </x:c>
      <x:c r="B15" s="11" t="str">
        <x:v>主用章节或小节</x:v>
      </x:c>
      <x:c r="C15" s="11" t="str">
        <x:v>本节拟回答的问题</x:v>
      </x:c>
      <x:c r="D15" s="11" t="str">
        <x:v>比较维度</x:v>
      </x:c>
      <x:c r="E15" s="11" t="str">
        <x:v>拟写作任务</x:v>
      </x:c>
      <x:c r="F15" s="11" t="str">
        <x:v>关联文献ID（本轮）</x:v>
      </x:c>
      <x:c r="G15" s="11" t="str">
        <x:v>优先候选ID（本轮）</x:v>
      </x:c>
      <x:c r="H15" s="11" t="str">
        <x:v>需从原文提取的证据</x:v>
      </x:c>
      <x:c r="I15" s="11" t="str">
        <x:v>比较与证据边界</x:v>
      </x:c>
      <x:c r="J15" s="11" t="str">
        <x:v>计划图表</x:v>
      </x:c>
    </x:row>
    <x:row r="16" ht="40" customHeight="1">
      <x:c r="A16" s="7" t="str">
        <x:v>Q01</x:v>
      </x:c>
      <x:c r="B16" s="7" t="str">
        <x:v>1 引言</x:v>
      </x:c>
      <x:c r="C16" s="7" t="str">
        <x:v>本文与已有综述的范围和比较框架有哪些差异？</x:v>
      </x:c>
      <x:c r="D16" s="7" t="str">
        <x:v>研究对象、决策层级、综述时段、系统接口与证据维度</x:v>
      </x:c>
      <x:c r="E16" s="7" t="str">
        <x:v>对照既有综述，界定本文范围和拟议贡献。</x:v>
      </x:c>
      <x:c r="F16" s="7" t="str">
        <x:v>R04、R12、R14、R06、R01、R02、R05、R20、R08、R16、R17、R18、R10、R11、R03、R07、R09、R19、R13、R15</x:v>
      </x:c>
      <x:c r="G16" s="7" t="str">
        <x:v>R04、R12、R14、R08、R16</x:v>
      </x:c>
      <x:c r="H16" s="7" t="str">
        <x:v>综述范围说明、分类表、明确排除对象与检索方式</x:v>
      </x:c>
      <x:c r="I16" s="7" t="str">
        <x:v>只以已有综述作定位依据，独特性需全文对照。</x:v>
      </x:c>
      <x:c r="J16" s="7" t="str">
        <x:v>既有综述覆盖矩阵</x:v>
      </x:c>
    </x:row>
    <x:row r="17" ht="40" customHeight="1">
      <x:c r="A17" s="7" t="str">
        <x:v>Q02</x:v>
      </x:c>
      <x:c r="B17" s="7" t="str">
        <x:v>2 系统框架与问题建模</x:v>
      </x:c>
      <x:c r="C17" s="7" t="str">
        <x:v>集中式、分布式与混合运行架构怎样连接状态、规划和执行？</x:v>
      </x:c>
      <x:c r="D17" s="7" t="str">
        <x:v>决策位置、节点职责、信息流、人工监督、触发机制</x:v>
      </x:c>
      <x:c r="E17" s="7" t="str">
        <x:v>建立共同系统框架，并解释后续方法在架构中的位置。</x:v>
      </x:c>
      <x:c r="F17" s="7" t="str">
        <x:v>R04、R12、R14、O16、O21、O95、O24、O22、O59、O76、R01、R02、R05、R20、O117、R11、O51、O15、O111</x:v>
      </x:c>
      <x:c r="G17" s="7" t="str">
        <x:v>R04、R12、R14、O16、O21</x:v>
      </x:c>
      <x:c r="H17" s="7" t="str">
        <x:v>模块和节点定义、接口、信息交换、运行触发及验证对象</x:v>
      </x:c>
      <x:c r="I17" s="7" t="str">
        <x:v>软件架构提案与已运行系统分别编码。</x:v>
      </x:c>
      <x:c r="J17" s="7" t="str">
        <x:v>系统架构与决策层级图</x:v>
      </x:c>
    </x:row>
    <x:row r="18" ht="38" customHeight="1">
      <x:c r="A18" s="7" t="str">
        <x:v>Q03</x:v>
      </x:c>
      <x:c r="B18" s="7" t="str">
        <x:v>2 系统框架与问题建模</x:v>
      </x:c>
      <x:c r="C18" s="7" t="str">
        <x:v>状态感知与遥测异常识别怎样提供可靠的决策输入？</x:v>
      </x:c>
      <x:c r="D18" s="7" t="str">
        <x:v>输入信号、训练数据、标签、阈值、漂移、误报</x:v>
      </x:c>
      <x:c r="E18" s="7" t="str">
        <x:v>比较状态估计和异常检测的输入与可靠性边界。</x:v>
      </x:c>
      <x:c r="F18" s="7" t="str">
        <x:v>O60、O61、O62、O63、O97、O64</x:v>
      </x:c>
      <x:c r="G18" s="7" t="str">
        <x:v>O60、O97、O64</x:v>
      </x:c>
      <x:c r="H18" s="7" t="str">
        <x:v>训练测试划分、异常定义、事件指标、误报和部署条件</x:v>
      </x:c>
      <x:c r="I18" s="7" t="str">
        <x:v>异常检测效果不能直接替代故障恢复或调度验证。</x:v>
      </x:c>
      <x:c r="J18" s="7" t="str">
        <x:v>状态感知方法比较表</x:v>
      </x:c>
    </x:row>
    <x:row r="19" ht="38" customHeight="1">
      <x:c r="A19" s="7" t="str">
        <x:v>Q04</x:v>
      </x:c>
      <x:c r="B19" s="7" t="str">
        <x:v>3.1 长期能力配置与运维决策</x:v>
      </x:c>
      <x:c r="C19" s="7" t="str">
        <x:v>部署与重构怎样改变覆盖和可用能力？</x:v>
      </x:c>
      <x:c r="D19" s="7" t="str">
        <x:v>轨道构型、分阶段决策、需求变化、机动成本、时间</x:v>
      </x:c>
      <x:c r="E19" s="7" t="str">
        <x:v>比较覆盖目标与部署、重构可执行条件的关系。</x:v>
      </x:c>
      <x:c r="F19" s="7" t="str">
        <x:v>R12、O52、O53、O54、O55、O56、O57、O58、R18</x:v>
      </x:c>
      <x:c r="G19" s="7" t="str">
        <x:v>R12</x:v>
      </x:c>
      <x:c r="H19" s="7" t="str">
        <x:v>配置变量、需求场景、阶段划分、机动模型和终端要求</x:v>
      </x:c>
      <x:c r="I19" s="7" t="str">
        <x:v>覆盖优化与可执行重构需分别核查。</x:v>
      </x:c>
      <x:c r="J19" s="7" t="str">
        <x:v>部署与重构模型比较表</x:v>
      </x:c>
    </x:row>
    <x:row r="20" ht="38" customHeight="1">
      <x:c r="A20" s="7" t="str">
        <x:v>Q05</x:v>
      </x:c>
      <x:c r="B20" s="7" t="str">
        <x:v>3.1 长期能力配置与运维决策</x:v>
      </x:c>
      <x:c r="C20" s="7" t="str">
        <x:v>备份与补网怎样维持星座可用性？</x:v>
      </x:c>
      <x:c r="D20" s="7" t="str">
        <x:v>库存层级、失效过程、补给时延、服务水平、成本</x:v>
      </x:c>
      <x:c r="E20" s="7" t="str">
        <x:v>比较备份和维护策略如何形成运行能力约束。</x:v>
      </x:c>
      <x:c r="F20" s="7" t="str">
        <x:v>O06、O27、R16、O05、O33、O35、O36</x:v>
      </x:c>
      <x:c r="G20" s="7" t="str">
        <x:v>O06、O27、R16</x:v>
      </x:c>
      <x:c r="H20" s="7" t="str">
        <x:v>故障分布、库存策略、补给提前期、可用性与费用定义</x:v>
      </x:c>
      <x:c r="I20" s="7" t="str">
        <x:v>数值案例和实际部署分别记录。</x:v>
      </x:c>
      <x:c r="J20" s="7" t="str">
        <x:v>备份补网与维护策略表</x:v>
      </x:c>
    </x:row>
    <x:row r="21" ht="38" customHeight="1">
      <x:c r="A21" s="7" t="str">
        <x:v>Q06</x:v>
      </x:c>
      <x:c r="B21" s="7" t="str">
        <x:v>3.1 长期能力配置与运维决策</x:v>
      </x:c>
      <x:c r="C21" s="7" t="str">
        <x:v>服务船与仓库怎样配置以满足在轨服务需求？</x:v>
      </x:c>
      <x:c r="D21" s="7" t="str">
        <x:v>设施位置、船队规模、客户分配、推进方式、响应性</x:v>
      </x:c>
      <x:c r="E21" s="7" t="str">
        <x:v>比较空间设施选址和服务能力配置的建模选择。</x:v>
      </x:c>
      <x:c r="F21" s="7" t="str">
        <x:v>O01、O04、O28、R08、R16、O02、O03、R17、O29、O07、O20、O34</x:v>
      </x:c>
      <x:c r="G21" s="7" t="str">
        <x:v>O01、O04、O28、R08、R16</x:v>
      </x:c>
      <x:c r="H21" s="7" t="str">
        <x:v>配置变量、客户需求、轨道与相位、转移代价及容量</x:v>
      </x:c>
      <x:c r="I21" s="7" t="str">
        <x:v>服务案例不能直接替代常规观测或通信星座结论。</x:v>
      </x:c>
      <x:c r="J21" s="7" t="str">
        <x:v>服务能力与设施配置表</x:v>
      </x:c>
    </x:row>
    <x:row r="22" ht="38" customHeight="1">
      <x:c r="A22" s="7" t="str">
        <x:v>Q07</x:v>
      </x:c>
      <x:c r="B22" s="7" t="str">
        <x:v>3.1 长期能力配置与运维决策</x:v>
      </x:c>
      <x:c r="C22" s="7" t="str">
        <x:v>需求与故障不确定性怎样影响长期运维决策？</x:v>
      </x:c>
      <x:c r="D22" s="7" t="str">
        <x:v>随机与认知不确定性、情景、风险、生命周期成本</x:v>
      </x:c>
      <x:c r="E22" s="7" t="str">
        <x:v>比较长期配置中的不确定性处理与性能指标。</x:v>
      </x:c>
      <x:c r="F22" s="7" t="str">
        <x:v>O01、O06、O27、R08、O05、O33、O35、O36、O54、O31、O30</x:v>
      </x:c>
      <x:c r="G22" s="7" t="str">
        <x:v>O01、O06、O27、R08、O31</x:v>
      </x:c>
      <x:c r="H22" s="7" t="str">
        <x:v>不确定量、信息获得时点、风险参数、成本和敏感性</x:v>
      </x:c>
      <x:c r="I22" s="7" t="str">
        <x:v>区分风险模型的假设与实际运行风险。</x:v>
      </x:c>
      <x:c r="J22" s="7" t="str">
        <x:v>不确定性建模比较表</x:v>
      </x:c>
    </x:row>
    <x:row r="23" ht="40" customHeight="1">
      <x:c r="A23" s="7" t="str">
        <x:v>Q08</x:v>
      </x:c>
      <x:c r="B23" s="7" t="str">
        <x:v>3.2 动态任务与多资源联合调度</x:v>
      </x:c>
      <x:c r="C23" s="7" t="str">
        <x:v>多目标在轨服务怎样联合选择、分配和安排访问？</x:v>
      </x:c>
      <x:c r="D23" s="7" t="str">
        <x:v>服务船、客户、任务次序、窗口、燃料、补充</x:v>
      </x:c>
      <x:c r="E23" s="7" t="str">
        <x:v>比较服务任务分配和连续访问序列的联合求解。</x:v>
      </x:c>
      <x:c r="F23" s="7" t="str">
        <x:v>O01、O04、O28、R08、O02、O03、R17、O29、O31、O32、O07、O11、O19、O20、O30、O34、O10、O09、O13、O08</x:v>
      </x:c>
      <x:c r="G23" s="7" t="str">
        <x:v>O01、O04、O28、R08、O29</x:v>
      </x:c>
      <x:c r="H23" s="7" t="str">
        <x:v>任务选择、路线变量、转移时间、资源更新与连续性检查</x:v>
      </x:c>
      <x:c r="I23" s="7" t="str">
        <x:v>访问图和完整连续轨迹的验证范围需分别记录。</x:v>
      </x:c>
      <x:c r="J23" s="7" t="str">
        <x:v>服务任务与路线调度表</x:v>
      </x:c>
    </x:row>
    <x:row r="24" ht="54" customHeight="1">
      <x:c r="A24" s="7" t="str">
        <x:v>Q09</x:v>
      </x:c>
      <x:c r="B24" s="7" t="str">
        <x:v>3.2 动态任务与多资源联合调度</x:v>
      </x:c>
      <x:c r="C24" s="7" t="str">
        <x:v>观测任务如何选择与排序，并扩展到大规模场景？</x:v>
      </x:c>
      <x:c r="D24" s="7" t="str">
        <x:v>时间模型、冲突、资源、规模、分解、学习作用位置</x:v>
      </x:c>
      <x:c r="E24" s="7" t="str">
        <x:v>比较基础调度模型及精确、启发式和学习混合方法。</x:v>
      </x:c>
      <x:c r="F24" s="7" t="str">
        <x:v>R18、O23、O70、O90、O101、R10、O17、O25、O47、O49、O50、O66、O67、O68、O69、O91、O102、O103、O105、O106、O121、O65、O74、O75、O87、O89、R03、R07、R09、O104、R13、O119</x:v>
      </x:c>
      <x:c r="G24" s="7" t="str">
        <x:v>O23、O70、O90、O101、R10</x:v>
      </x:c>
      <x:c r="H24" s="7" t="str">
        <x:v>变量约束、实例生成、卫星与任务数、上下界和总成本</x:v>
      </x:c>
      <x:c r="I24" s="7" t="str">
        <x:v>不同实例及资源模型下的性能不能直接统一排名。</x:v>
      </x:c>
      <x:c r="J24" s="7" t="str">
        <x:v>调度模型与求解方法表</x:v>
      </x:c>
    </x:row>
    <x:row r="25" ht="38" customHeight="1">
      <x:c r="A25" s="7" t="str">
        <x:v>Q10</x:v>
      </x:c>
      <x:c r="B25" s="7" t="str">
        <x:v>3.2 动态任务与多资源联合调度</x:v>
      </x:c>
      <x:c r="C25" s="7" t="str">
        <x:v>任务和环境变化下怎样实现鲁棒或在线重调度？</x:v>
      </x:c>
      <x:c r="D25" s="7" t="str">
        <x:v>云覆盖、动态到达、风险、多目标、滚动时域</x:v>
      </x:c>
      <x:c r="E25" s="7" t="str">
        <x:v>比较不确定性处理、信息更新和重规划机制。</x:v>
      </x:c>
      <x:c r="F25" s="7" t="str">
        <x:v>O25、O48、O51、O66、O67、O68、O69、O71、R03、O127</x:v>
      </x:c>
      <x:c r="G25" s="7" t="str">
        <x:v>O25、O48、O51、O66</x:v>
      </x:c>
      <x:c r="H25" s="7" t="str">
        <x:v>变化模型、风险或鲁棒参数、重规划触发、收益与失败率</x:v>
      </x:c>
      <x:c r="I25" s="7" t="str">
        <x:v>概率保证和经验表现分别提取。</x:v>
      </x:c>
      <x:c r="J25" s="7" t="str">
        <x:v>动态与不确定调度比较表</x:v>
      </x:c>
    </x:row>
    <x:row r="26" ht="40" customHeight="1">
      <x:c r="A26" s="7" t="str">
        <x:v>Q11</x:v>
      </x:c>
      <x:c r="B26" s="7" t="str">
        <x:v>3.2 动态任务与多资源联合调度</x:v>
      </x:c>
      <x:c r="C26" s="7" t="str">
        <x:v>观测、存储和下传怎样形成完整任务链？</x:v>
      </x:c>
      <x:c r="D26" s="7" t="str">
        <x:v>时间窗、任务依赖、数据库存、能量、充电、交付</x:v>
      </x:c>
      <x:c r="E26" s="7" t="str">
        <x:v>比较联合观测与传输模型对任务完成定义的影响。</x:v>
      </x:c>
      <x:c r="F26" s="7" t="str">
        <x:v>O108、O112、O113、O17、O18、O26、O72、O77、O107、O109、O81、O128、R03、R09、O110、O111</x:v>
      </x:c>
      <x:c r="G26" s="7" t="str">
        <x:v>O108、O112、O113</x:v>
      </x:c>
      <x:c r="H26" s="7" t="str">
        <x:v>观测和交付变量、资源动态、耦合约束和收益定义</x:v>
      </x:c>
      <x:c r="I26" s="7" t="str">
        <x:v>安排观测和完成交付的统计口径需区分。</x:v>
      </x:c>
      <x:c r="J26" s="7" t="str">
        <x:v>任务链与资源耦合表</x:v>
      </x:c>
    </x:row>
    <x:row r="27" ht="38" customHeight="1">
      <x:c r="A27" s="7" t="str">
        <x:v>Q12</x:v>
      </x:c>
      <x:c r="B27" s="7" t="str">
        <x:v>3.2 动态任务与多资源联合调度</x:v>
      </x:c>
      <x:c r="C27" s="7" t="str">
        <x:v>星地通信和测控资源怎样协调排班？</x:v>
      </x:c>
      <x:c r="D27" s="7" t="str">
        <x:v>接触窗口、天线容量、站点、优先级、人工协商</x:v>
      </x:c>
      <x:c r="E27" s="7" t="str">
        <x:v>比较通信设施排班与星上任务调度的接口。</x:v>
      </x:c>
      <x:c r="F27" s="7" t="str">
        <x:v>O76、O73、O14、O72、O77、O74、O75、O96、R09</x:v>
      </x:c>
      <x:c r="G27" s="7" t="str">
        <x:v>O73</x:v>
      </x:c>
      <x:c r="H27" s="7" t="str">
        <x:v>资源共享、时窗、冲突、实际运行流程和对照基线</x:v>
      </x:c>
      <x:c r="I27" s="7" t="str">
        <x:v>深空及地面站案例作为相邻场景注明。</x:v>
      </x:c>
      <x:c r="J27" s="7" t="str">
        <x:v>测控与下传排班比较表</x:v>
      </x:c>
    </x:row>
    <x:row r="28" ht="40" customHeight="1">
      <x:c r="A28" s="7" t="str">
        <x:v>Q13</x:v>
      </x:c>
      <x:c r="B28" s="7" t="str">
        <x:v>3.2 动态任务与多资源联合调度</x:v>
      </x:c>
      <x:c r="C28" s="7" t="str">
        <x:v>通信与计算资源怎样支持任务卸载和星上处理？</x:v>
      </x:c>
      <x:c r="D28" s="7" t="str">
        <x:v>计算、带宽、功率、延迟、可见性、语义任务收益</x:v>
      </x:c>
      <x:c r="E28" s="7" t="str">
        <x:v>比较资源分配、任务处理与观测交付之间的关系。</x:v>
      </x:c>
      <x:c r="F28" s="7" t="str">
        <x:v>O24、R20、O112、O26、O125、O15、O78、O79、O80、O81、O82、O83、O128、R19、O122</x:v>
      </x:c>
      <x:c r="G28" s="7" t="str">
        <x:v>O112、O122</x:v>
      </x:c>
      <x:c r="H28" s="7" t="str">
        <x:v>执行时间、节点异构性、链路模型、能耗、截止期和硬件</x:v>
      </x:c>
      <x:c r="I28" s="7" t="str">
        <x:v>网络或计算仿真不直接等价于完整任务在轨运行。</x:v>
      </x:c>
      <x:c r="J28" s="7" t="str">
        <x:v>通信计算与处理调度表</x:v>
      </x:c>
    </x:row>
    <x:row r="29" ht="38" customHeight="1">
      <x:c r="A29" s="7" t="str">
        <x:v>Q14</x:v>
      </x:c>
      <x:c r="B29" s="7" t="str">
        <x:v>3.2 动态任务与多资源联合调度</x:v>
      </x:c>
      <x:c r="C29" s="7" t="str">
        <x:v>异构载荷和任务依赖怎样进入协同调度？</x:v>
      </x:c>
      <x:c r="D29" s="7" t="str">
        <x:v>触发任务、先后顺序、载荷类型、模式、数据依赖</x:v>
      </x:c>
      <x:c r="E29" s="7" t="str">
        <x:v>比较异构任务链和载荷模式对调度模型的要求。</x:v>
      </x:c>
      <x:c r="F29" s="7" t="str">
        <x:v>O18、O102、O121</x:v>
      </x:c>
      <x:c r="G29" s="7" t="str">
        <x:v>O18、O102、O121</x:v>
      </x:c>
      <x:c r="H29" s="7" t="str">
        <x:v>载荷能力、触发条件、前后关系、模式切换和交付要求</x:v>
      </x:c>
      <x:c r="I29" s="7" t="str">
        <x:v>先核查具体任务链，避免把所有多星研究归为异构协同。</x:v>
      </x:c>
      <x:c r="J29" s="7" t="str">
        <x:v>异构任务链示意与比较表</x:v>
      </x:c>
    </x:row>
    <x:row r="30" ht="54" customHeight="1">
      <x:c r="A30" s="7" t="str">
        <x:v>Q15</x:v>
      </x:c>
      <x:c r="B30" s="7" t="str">
        <x:v>3.2 动态任务与多资源联合调度</x:v>
      </x:c>
      <x:c r="C30" s="7" t="str">
        <x:v>分布式任务分配怎样消除冲突并满足资源约束？</x:v>
      </x:c>
      <x:c r="D30" s="7" t="str">
        <x:v>拍卖、约束优化、分解、共识、代理、信息需求</x:v>
      </x:c>
      <x:c r="E30" s="7" t="str">
        <x:v>比较集中与分布方法的协调机制和适用条件。</x:v>
      </x:c>
      <x:c r="F30" s="7" t="str">
        <x:v>O95、R01、O23、O32、O46、O90、O116、R10、R11、O47、O48、O49、O50、O51、O71、O91、O94、O114、O78、O80、O92、O93、O115、R07、O110、O98</x:v>
      </x:c>
      <x:c r="G30" s="7" t="str">
        <x:v>O95、O23、O32、O46、O90</x:v>
      </x:c>
      <x:c r="H30" s="7" t="str">
        <x:v>代理和变量、消息协议、收敛前提、冲突处理与资源检查</x:v>
      </x:c>
      <x:c r="I30" s="7" t="str">
        <x:v>一般多机器人算法需标注向卫星场景迁移的条件。</x:v>
      </x:c>
      <x:c r="J30" s="7" t="str">
        <x:v>分布式协同机制表</x:v>
      </x:c>
    </x:row>
    <x:row r="31" ht="38" customHeight="1">
      <x:c r="A31" s="7" t="str">
        <x:v>Q16</x:v>
      </x:c>
      <x:c r="B31" s="7" t="str">
        <x:v>3.2 动态任务与多资源联合调度</x:v>
      </x:c>
      <x:c r="C31" s="7" t="str">
        <x:v>延迟、丢包和异步通信怎样影响协同结果？</x:v>
      </x:c>
      <x:c r="D31" s="7" t="str">
        <x:v>接触图、延迟、丢失、异步、消息成本、重复分配</x:v>
      </x:c>
      <x:c r="E31" s="7" t="str">
        <x:v>比较通信受限条件下的调度与协调机制。</x:v>
      </x:c>
      <x:c r="F31" s="7" t="str">
        <x:v>R20、O46、O113、O116、R11、O114、O93、O115</x:v>
      </x:c>
      <x:c r="G31" s="7" t="str">
        <x:v>O46、O113、O116、R11</x:v>
      </x:c>
      <x:c r="H31" s="7" t="str">
        <x:v>网络生成、延迟与丢包分布、信息版本、失败和恢复统计</x:v>
      </x:c>
      <x:c r="I31" s="7" t="str">
        <x:v>网络传播性能与任务分配可行性分别核查。</x:v>
      </x:c>
      <x:c r="J31" s="7" t="str">
        <x:v>通信条件与协调表现表</x:v>
      </x:c>
    </x:row>
    <x:row r="32" ht="38" customHeight="1">
      <x:c r="A32" s="7" t="str">
        <x:v>Q17</x:v>
      </x:c>
      <x:c r="B32" s="7" t="str">
        <x:v>3.2 动态任务与多资源联合调度</x:v>
      </x:c>
      <x:c r="C32" s="7" t="str">
        <x:v>空间态势感知任务怎样按信息价值和风险调度？</x:v>
      </x:c>
      <x:c r="D32" s="7" t="str">
        <x:v>目标目录、传感器、信息增益、风险、可见窗口</x:v>
      </x:c>
      <x:c r="E32" s="7" t="str">
        <x:v>比较传感器任务评价与星座安全决策的接口。</x:v>
      </x:c>
      <x:c r="F32" s="7" t="str">
        <x:v>O12、O84、O86、O87、O89、O96、O85</x:v>
      </x:c>
      <x:c r="G32" s="7" t="str">
        <x:v>O12、O84、O86、O87</x:v>
      </x:c>
      <x:c r="H32" s="7" t="str">
        <x:v>任务收益定义、目标状态、可见性、风险输入和后续动作</x:v>
      </x:c>
      <x:c r="I32" s="7" t="str">
        <x:v>传感器任务完成不直接证明碰撞风险已经消除。</x:v>
      </x:c>
      <x:c r="J32" s="7" t="str">
        <x:v>态势感知任务调度表</x:v>
      </x:c>
    </x:row>
    <x:row r="33" ht="40" customHeight="1">
      <x:c r="A33" s="7" t="str">
        <x:v>Q18</x:v>
      </x:c>
      <x:c r="B33" s="7" t="str">
        <x:v>3.3 安全执行与异常恢复</x:v>
      </x:c>
      <x:c r="C33" s="7" t="str">
        <x:v>计划怎样满足轨道、交会和连续执行条件？</x:v>
      </x:c>
      <x:c r="D33" s="7" t="str">
        <x:v>动力学、推进、摄动、终端状态、安全区、连续时间</x:v>
      </x:c>
      <x:c r="E33" s="7" t="str">
        <x:v>比较转移和交会方法对任务计划可执行性的支撑。</x:v>
      </x:c>
      <x:c r="F33" s="7" t="str">
        <x:v>O04、R16、O02、O52、O53、R17、O29、O07、O11、O19、O10、O41、R15、O09、O13、O40、O43、O44、O120、O42、O45、O08</x:v>
      </x:c>
      <x:c r="G33" s="7" t="str">
        <x:v>O04、R16、O29、O10、O41</x:v>
      </x:c>
      <x:c r="H33" s="7" t="str">
        <x:v>动力学和终端条件、连续时间检查、求解残差与参考解</x:v>
      </x:c>
      <x:c r="I33" s="7" t="str">
        <x:v>低轨、地球同步轨道和月球附近场景分别标注。</x:v>
      </x:c>
      <x:c r="J33" s="7" t="str">
        <x:v>物理可行性与执行检查表</x:v>
      </x:c>
    </x:row>
    <x:row r="34" ht="38" customHeight="1">
      <x:c r="A34" s="7" t="str">
        <x:v>Q19</x:v>
      </x:c>
      <x:c r="B34" s="7" t="str">
        <x:v>3.3 安全执行与异常恢复</x:v>
      </x:c>
      <x:c r="C34" s="7" t="str">
        <x:v>接近筛查、风险估计与规避机动怎样衔接？</x:v>
      </x:c>
      <x:c r="D34" s="7" t="str">
        <x:v>最近接近、传播误差、碰撞概率、筛查、机动</x:v>
      </x:c>
      <x:c r="E34" s="7" t="str">
        <x:v>比较风险计算、候选筛选与规避决策的验证范围。</x:v>
      </x:c>
      <x:c r="F34" s="7" t="str">
        <x:v>R06、O12、O84、O37、R15、O38、O39、O88</x:v>
      </x:c>
      <x:c r="G34" s="7" t="str">
        <x:v>O37、R15</x:v>
      </x:c>
      <x:c r="H34" s="7" t="str">
        <x:v>误差和漏检、参考解、不确定性、规避效果与代价</x:v>
      </x:c>
      <x:c r="I34" s="7" t="str">
        <x:v>事件预测、风险降低和连续安全不能混为同一保证。</x:v>
      </x:c>
      <x:c r="J34" s="7" t="str">
        <x:v>碰撞风险与规避方法表</x:v>
      </x:c>
    </x:row>
    <x:row r="35" ht="38" customHeight="1">
      <x:c r="A35" s="7" t="str">
        <x:v>Q20</x:v>
      </x:c>
      <x:c r="B35" s="7" t="str">
        <x:v>3.3 安全执行与异常恢复</x:v>
      </x:c>
      <x:c r="C35" s="7" t="str">
        <x:v>故障发生后怎样诊断、修复计划和恢复执行？</x:v>
      </x:c>
      <x:c r="D35" s="7" t="str">
        <x:v>故障种类、规则、应急计划、任务再分配、控制</x:v>
      </x:c>
      <x:c r="E35" s="7" t="str">
        <x:v>比较故障处理与调度、执行恢复之间的接口。</x:v>
      </x:c>
      <x:c r="F35" s="7" t="str">
        <x:v>O59、R02、O97、O126、O98、O100、O127、O99</x:v>
      </x:c>
      <x:c r="G35" s="7" t="str">
        <x:v>O97、O126、O99</x:v>
      </x:c>
      <x:c r="H35" s="7" t="str">
        <x:v>触发条件、故障覆盖、恢复动作、剩余资源和测试对象</x:v>
      </x:c>
      <x:c r="I35" s="7" t="str">
        <x:v>预定义应急范围及地面验证条件应明确记录。</x:v>
      </x:c>
      <x:c r="J35" s="7" t="str">
        <x:v>异常恢复机制与证据表</x:v>
      </x:c>
    </x:row>
    <x:row r="36" ht="54" customHeight="1">
      <x:c r="A36" s="7" t="str">
        <x:v>Q21</x:v>
      </x:c>
      <x:c r="B36" s="7" t="str">
        <x:v>3.4 跨层耦合与闭环协同</x:v>
      </x:c>
      <x:c r="C36" s="7" t="str">
        <x:v>配置、调度和执行之间怎样形成闭环反馈？</x:v>
      </x:c>
      <x:c r="D36" s="7" t="str">
        <x:v>层间输入输出、资源状态、执行监控、触发、重配置</x:v>
      </x:c>
      <x:c r="E36" s="7" t="str">
        <x:v>核查研究真正连接了哪些层级和反馈接口。</x:v>
      </x:c>
      <x:c r="F36" s="7" t="str">
        <x:v>R04、O16、O21、O22、O59、O76、R02、O01、O04、O06、O02、O29、O112、O07、O11、O18、O19、O51、O15、O92、R19、O10、O126、O09、O98、O99、O122、O111</x:v>
      </x:c>
      <x:c r="G36" s="7" t="str">
        <x:v>R04、O16、O21、O01、O04</x:v>
      </x:c>
      <x:c r="H36" s="7" t="str">
        <x:v>联合变量、层间接口、反馈频率、执行失败与重规划记录</x:v>
      </x:c>
      <x:c r="I36" s="7" t="str">
        <x:v>候选接口不表示已有研究已实现端到端闭环。</x:v>
      </x:c>
      <x:c r="J36" s="7" t="str">
        <x:v>跨层接口与证据覆盖矩阵</x:v>
      </x:c>
    </x:row>
    <x:row r="37" ht="54" customHeight="1">
      <x:c r="A37" s="7" t="str">
        <x:v>Q22</x:v>
      </x:c>
      <x:c r="B37" s="7" t="str">
        <x:v>4 综合评价与研究展望</x:v>
      </x:c>
      <x:c r="C37" s="7" t="str">
        <x:v>方法比较是否公平，规模和总成本如何计量？</x:v>
      </x:c>
      <x:c r="D37" s="7" t="str">
        <x:v>基准、规模分母、硬件、训练成本、重复性、失败率</x:v>
      </x:c>
      <x:c r="E37" s="7" t="str">
        <x:v>统一比较口径，解释跨研究性能比较的限制。</x:v>
      </x:c>
      <x:c r="F37" s="7" t="str">
        <x:v>O60、O95、O61、O63、O27、O33、O55、O56、O23、O70、O90、O101、O116、R10、O25、O34、O102、O103、O105、O106、O121、O92、R03、O104、R13、O37、O38、O64、O119、O124、O118、O88</x:v>
      </x:c>
      <x:c r="G37" s="7" t="str">
        <x:v>O60、O95、O27、O23、O70</x:v>
      </x:c>
      <x:c r="H37" s="7" t="str">
        <x:v>卫星任务数、时域、实例、数据划分、基线、资源和总代价</x:v>
      </x:c>
      <x:c r="I37" s="7" t="str">
        <x:v>数量多或平均指标高均需结合条件和失败结果解释。</x:v>
      </x:c>
      <x:c r="J37" s="7" t="str">
        <x:v>基准与评价条件表</x:v>
      </x:c>
    </x:row>
    <x:row r="38" ht="40" customHeight="1">
      <x:c r="A38" s="7" t="str">
        <x:v>Q23</x:v>
      </x:c>
      <x:c r="B38" s="7" t="str">
        <x:v>4 综合评价与研究展望</x:v>
      </x:c>
      <x:c r="C38" s="7" t="str">
        <x:v>理论、仿真、硬件和在轨证据各支持什么结论？</x:v>
      </x:c>
      <x:c r="D38" s="7" t="str">
        <x:v>验证对象、模型一致性、工具、硬件、飞行范围、复现</x:v>
      </x:c>
      <x:c r="E38" s="7" t="str">
        <x:v>建立验证类型与结论范围的对应关系。</x:v>
      </x:c>
      <x:c r="F38" s="7" t="str">
        <x:v>R14、O21、O24、O22、O59、O76、R05、O73、O128、O41、O97、O126、O39、O40、O44、O120、O42、O45、O99、O122、O124、O118、O123</x:v>
      </x:c>
      <x:c r="G38" s="7" t="str">
        <x:v>R14、O21、O73、O41、O97</x:v>
      </x:c>
      <x:c r="H38" s="7" t="str">
        <x:v>证明前提、仿真设置、板级或在环测试、飞行记录与公开材料</x:v>
      </x:c>
      <x:c r="I38" s="7" t="str">
        <x:v>各证据类型提供不同支持，避免简单线性质量排序。</x:v>
      </x:c>
      <x:c r="J38" s="7" t="str">
        <x:v>验证证据与适用边界表</x:v>
      </x:c>
    </x:row>
    <x:row r="39" ht="38" customHeight="1">
      <x:c r="A39" s="7" t="str">
        <x:v>Q24</x:v>
      </x:c>
      <x:c r="B39" s="7" t="str">
        <x:v>4 综合评价与研究展望</x:v>
      </x:c>
      <x:c r="C39" s="7" t="str">
        <x:v>哪些接口和条件需要进一步联合研究与验证？</x:v>
      </x:c>
      <x:c r="D39" s="7" t="str">
        <x:v>缺失耦合、扩展条件、不确定性、恢复、总成本</x:v>
      </x:c>
      <x:c r="E39" s="7" t="str">
        <x:v>从前文比较归纳可检验的研究方向。</x:v>
      </x:c>
      <x:c r="F39" s="7" t="str">
        <x:v>R04、R14、O06、R08、O46、O101、O112、O37、O126、R15、O64、O124</x:v>
      </x:c>
      <x:c r="G39" s="7" t="str">
        <x:v>R04、R14、O06、R08、O46</x:v>
      </x:c>
      <x:c r="H39" s="7" t="str">
        <x:v>代表研究的实际限制、对立证据及未覆盖条件</x:v>
      </x:c>
      <x:c r="I39" s="7" t="str">
        <x:v>现阶段为讨论任务，不能仅据本库数量认定研究空白。</x:v>
      </x:c>
      <x:c r="J39" s="7" t="str">
        <x:v>研究问题与所需验证条件表</x:v>
      </x:c>
    </x:row>
    <x:row r="40" ht="38" customHeight="1">
      <x:c r="A40" s="7" t="str">
        <x:v>Q25</x:v>
      </x:c>
      <x:c r="B40" s="7" t="str">
        <x:v>5 结论</x:v>
      </x:c>
      <x:c r="C40" s="7" t="str">
        <x:v>全文结论怎样与前文已核查证据一致？</x:v>
      </x:c>
      <x:c r="D40" s="7" t="str">
        <x:v>问题回答、证据范围、适用条件、贡献</x:v>
      </x:c>
      <x:c r="E40" s="7" t="str">
        <x:v>综合前文结果，结论不另建立独立文献池。</x:v>
      </x:c>
      <x:c r="F40" s="7" t="str">
        <x:v>承接前文已核证据</x:v>
      </x:c>
      <x:c r="G40" s="7" t="str">
        <x:v>承接前文证据</x:v>
      </x:c>
      <x:c r="H40" s="7" t="str">
        <x:v>回溯第2至4章已确认的论点与来源</x:v>
      </x:c>
      <x:c r="I40" s="7" t="str">
        <x:v>结论沿用前文证据；不为本章强行分配独立文献。</x:v>
      </x:c>
      <x:c r="J40" s="7" t="str">
        <x:v>不新增图表</x:v>
      </x:c>
    </x:row>
  </x:sheetData>
  <x:pageMargins left="0.7" right="0.7" top="0.75" bottom="0.75" header="0.3" footer="0.3"/>
  <x:tableParts count="2">
    <x:tablePart xmlns:r="http://schemas.openxmlformats.org/officeDocument/2006/relationships" r:id="R0310a87c02f5466f"/>
    <x:tablePart xmlns:r="http://schemas.openxmlformats.org/officeDocument/2006/relationships" r:id="Rfdc3cc89f6174d72"/>
  </x:tableParts>
</x:worksheet>
</file>

<file path=xl/worksheets/sheet2.xml><?xml version="1.0" encoding="utf-8"?>
<x:worksheet xmlns:x="http://schemas.openxmlformats.org/spreadsheetml/2006/main">
  <x:sheetPr>
    <x:tabColor rgb="FF47665B"/>
  </x:sheetPr>
  <x:sheetViews>
    <x:sheetView showGridLines="0" workbookViewId="0">
      <x:pane xSplit="2" ySplit="5" topLeftCell="C6" activePane="bottomRight" state="frozen"/>
    </x:sheetView>
  </x:sheetViews>
  <x:sheetFormatPr defaultRowHeight="15"/>
  <x:cols>
    <x:col min="1" max="1" width="9" hidden="0" customWidth="1"/>
    <x:col min="2" max="2" width="32" hidden="0" customWidth="1"/>
    <x:col min="3" max="3" width="42" hidden="0" customWidth="1"/>
    <x:col min="4" max="4" width="25" hidden="0" customWidth="1"/>
    <x:col min="5" max="5" width="60" hidden="0" customWidth="1"/>
    <x:col min="6" max="6" width="76" hidden="0" customWidth="1"/>
    <x:col min="7" max="7" width="46" hidden="0" customWidth="1"/>
    <x:col min="8" max="8" width="43" hidden="0" customWidth="1"/>
    <x:col min="9" max="9" width="11" hidden="0" customWidth="1"/>
    <x:col min="10" max="10" width="46" hidden="0" customWidth="1"/>
    <x:col min="11" max="11" width="70" hidden="0" customWidth="1"/>
    <x:col min="12" max="12" width="66" hidden="0" customWidth="1"/>
    <x:col min="13" max="13" width="72" hidden="0" customWidth="1"/>
    <x:col min="14" max="14" width="68" hidden="0" customWidth="1"/>
    <x:col min="15" max="15" width="45" hidden="0" customWidth="1"/>
    <x:col min="16" max="16" width="83" hidden="0" customWidth="1"/>
    <x:col min="17" max="17" width="72" hidden="0" customWidth="1"/>
    <x:col min="18" max="18" width="83" hidden="0" customWidth="1"/>
    <x:col min="19" max="19" width="25" hidden="0" customWidth="1"/>
    <x:col min="20" max="20" width="85" hidden="0" customWidth="1"/>
    <x:col min="21" max="21" width="3" hidden="0" customWidth="1"/>
    <x:col min="22" max="22" width="102" hidden="0" customWidth="1"/>
    <x:col min="23" max="23" width="22" hidden="0" customWidth="1"/>
    <x:col min="24" max="24" width="64" hidden="0" customWidth="1"/>
    <x:col min="25" max="25" width="17" hidden="0" customWidth="1"/>
  </x:cols>
  <x:sheetData>
    <x:row r="2" ht="26" customHeight="1">
      <x:c r="A2" s="2" t="str">
        <x:v>148篇文献：章节、研究问题与证据</x:v>
      </x:c>
    </x:row>
    <x:row r="3" ht="22" customHeight="1">
      <x:c r="A3" s="4" t="str">
        <x:v>方法与证据沿用前轮提取，局部原文核查单独标记。U列为空隔列，X列可补作者复核记录。</x:v>
      </x:c>
    </x:row>
    <x:row r="5" ht="34" customHeight="1">
      <x:c r="A5" s="11" t="str">
        <x:v>ID</x:v>
      </x:c>
      <x:c r="B5" s="11" t="str">
        <x:v>主用章节或小节</x:v>
      </x:c>
      <x:c r="C5" s="11" t="str">
        <x:v>辅助章节或小节</x:v>
      </x:c>
      <x:c r="D5" s="11" t="str">
        <x:v>研究问题ID</x:v>
      </x:c>
      <x:c r="E5" s="11" t="str">
        <x:v>论文研究问题或综述范围</x:v>
      </x:c>
      <x:c r="F5" s="11" t="str">
        <x:v>英文原标题或官方对应题名</x:v>
      </x:c>
      <x:c r="G5" s="11" t="str">
        <x:v>中文译名或原文题名</x:v>
      </x:c>
      <x:c r="H5" s="11" t="str">
        <x:v>DOI</x:v>
      </x:c>
      <x:c r="I5" s="11" t="str">
        <x:v>年份</x:v>
      </x:c>
      <x:c r="J5" s="11" t="str">
        <x:v>期刊或会议</x:v>
      </x:c>
      <x:c r="K5" s="11" t="str">
        <x:v>模型与方法</x:v>
      </x:c>
      <x:c r="L5" s="11" t="str">
        <x:v>关键假设与约束</x:v>
      </x:c>
      <x:c r="M5" s="11" t="str">
        <x:v>证据类型及范围</x:v>
      </x:c>
      <x:c r="N5" s="11" t="str">
        <x:v>内容提取依据</x:v>
      </x:c>
      <x:c r="O5" s="11" t="str">
        <x:v>阅读与核查状态</x:v>
      </x:c>
      <x:c r="P5" s="11" t="str">
        <x:v>已核或待核原文位置</x:v>
      </x:c>
      <x:c r="Q5" s="11" t="str">
        <x:v>拟写作用途</x:v>
      </x:c>
      <x:c r="R5" s="11" t="str">
        <x:v>适用限制与待核事项</x:v>
      </x:c>
      <x:c r="S5" s="11" t="str">
        <x:v>精读安排</x:v>
      </x:c>
      <x:c r="T5" s="11" t="str">
        <x:v>全文核查重点问题</x:v>
      </x:c>
      <x:c r="U5" s="15" t="str"/>
      <x:c r="V5" s="11" t="str">
        <x:v>一手来源与作者公开稿</x:v>
      </x:c>
      <x:c r="W5" s="11" t="str">
        <x:v>本轮局部核查日期</x:v>
      </x:c>
      <x:c r="X5" s="11" t="str">
        <x:v>作者复核记录（可填）</x:v>
      </x:c>
      <x:c r="Y5" s="11" t="str">
        <x:v>文献类别</x:v>
      </x:c>
    </x:row>
    <x:row r="6" ht="40" customHeight="1">
      <x:c r="A6" s="7" t="str">
        <x:v>R04</x:v>
      </x:c>
      <x:c r="B6" s="7" t="str">
        <x:v>1 引言</x:v>
      </x:c>
      <x:c r="C6" s="7" t="str">
        <x:v>2 系统框架与问题建模
3.4 跨层耦合与闭环协同
4 综合评价与研究展望</x:v>
      </x:c>
      <x:c r="D6" s="7" t="str">
        <x:v>Q01、Q02、Q21、Q24</x:v>
      </x:c>
      <x:c r="E6" s="7" t="str">
        <x:v>从传统航天器运行流程分析规模扩展瓶颈与运行范式变化。</x:v>
      </x:c>
      <x:c r="F6" s="7" t="str">
        <x:v>Towards the automated operations of large distributed satellite systems. Part 1: Review and paradigm shifts</x:v>
      </x:c>
      <x:c r="G6" s="7" t="str">
        <x:v>迈向大型分布式卫星系统自动化运行，第一部分：综述与范式转变</x:v>
      </x:c>
      <x:c r="H6" s="14" t="str">
        <x:v>10.1016/j.asr.2020.08.009</x:v>
      </x:c>
      <x:c r="I6" s="12" t="n">
        <x:v>2021</x:v>
      </x:c>
      <x:c r="J6" s="7" t="str">
        <x:v>Advances in Space Research</x:v>
      </x:c>
      <x:c r="K6" s="7" t="str">
        <x:v>从传统航天器运行流程分析规模扩展瓶颈与运行范式变化。</x:v>
      </x:c>
      <x:c r="L6" s="7" t="str">
        <x:v>该综述的范围、模型假设和约束分类待逐项全文提取。</x:v>
      </x:c>
      <x:c r="M6" s="7" t="str">
        <x:v>综述归纳材料；具体技术结论需回溯原始研究。</x:v>
      </x:c>
      <x:c r="N6" s="7" t="str">
        <x:v>出版社公开摘要</x:v>
      </x:c>
      <x:c r="O6" s="7" t="str">
        <x:v>沿用前轮提取；待完整全文核查</x:v>
      </x:c>
      <x:c r="P6" s="7" t="str">
        <x:v>尚无经全文核查的精确页码、章节或图表位置。</x:v>
      </x:c>
      <x:c r="Q6" s="7" t="str">
        <x:v>对照既有综述，界定本文范围和拟议贡献。 作为既有综述或分类参照。</x:v>
      </x:c>
      <x:c r="R6" s="7" t="str">
        <x:v>是系统级选题的直接对照，不能仅以大规模自动化作为差异化。
与Part 2为配套论文，分别编目。</x:v>
      </x:c>
      <x:c r="S6" s="7" t="str">
        <x:v>首轮锚点精读</x:v>
      </x:c>
      <x:c r="T6" s="7" t="str">
        <x:v>核对综述的实际对象、文献时段、任务类别、分类框架、安全接口与证据维度；确定我们可以新增的比较。</x:v>
      </x:c>
      <x:c r="U6" s="16" t="str"/>
      <x:c r="V6" s="7" t="str">
        <x:v>https://www.sciencedirect.com/science/article/pii/S0273117720305676
https://doi.org/10.1016/j.asr.2020.08.009</x:v>
      </x:c>
      <x:c r="W6" s="13"/>
      <x:c r="X6" s="17" t="str"/>
      <x:c r="Y6" s="7" t="str">
        <x:v>综述</x:v>
      </x:c>
    </x:row>
    <x:row r="7" ht="40" customHeight="1">
      <x:c r="A7" s="7" t="str">
        <x:v>R12</x:v>
      </x:c>
      <x:c r="B7" s="7" t="str">
        <x:v>1 引言</x:v>
      </x:c>
      <x:c r="C7" s="7" t="str">
        <x:v>2 系统框架与问题建模
3.1 长期能力配置与运维决策</x:v>
      </x:c>
      <x:c r="D7" s="7" t="str">
        <x:v>Q01、Q02、Q04</x:v>
      </x:c>
      <x:c r="E7" s="7" t="str">
        <x:v>分层／分簇管理、构型维持、轨道摄动、多壳层协调与智能控制。</x:v>
      </x:c>
      <x:c r="F7" s="7" t="str">
        <x:v>Managing Mega-Constellations: A Starlink-Informed Review</x:v>
      </x:c>
      <x:c r="G7" s="7" t="str">
        <x:v>巨型星座管理：以Starlink为参照的综述</x:v>
      </x:c>
      <x:c r="H7" s="14" t="str">
        <x:v>10.3390/sym18071141</x:v>
      </x:c>
      <x:c r="I7" s="12" t="n">
        <x:v>2026</x:v>
      </x:c>
      <x:c r="J7" s="7" t="str">
        <x:v>Symmetry</x:v>
      </x:c>
      <x:c r="K7" s="7" t="str">
        <x:v>分层／分簇管理、构型维持、轨道摄动、多壳层协调与智能控制。</x:v>
      </x:c>
      <x:c r="L7" s="7" t="str">
        <x:v>该综述的范围、模型假设和约束分类待逐项全文提取。</x:v>
      </x:c>
      <x:c r="M7" s="7" t="str">
        <x:v>综述归纳材料；具体技术结论需回溯原始研究。</x:v>
      </x:c>
      <x:c r="N7" s="7" t="str">
        <x:v>出版社公开摘要、引言与注册摘要</x:v>
      </x:c>
      <x:c r="O7" s="7" t="str">
        <x:v>沿用前轮提取；待完整全文核查</x:v>
      </x:c>
      <x:c r="P7" s="7" t="str">
        <x:v>尚无经全文核查的精确页码、章节或图表位置。</x:v>
      </x:c>
      <x:c r="Q7" s="7" t="str">
        <x:v>对照既有综述，界定本文范围和拟议贡献。 作为既有综述或分类参照。</x:v>
      </x:c>
      <x:c r="R7" s="7" t="str">
        <x:v>是最新的直接竞争综述；重点比较服务资源配置与任务执行链的覆盖程度。
2026-07-03正式发表；有关商业系统参数须另核原始来源。</x:v>
      </x:c>
      <x:c r="S7" s="7" t="str">
        <x:v>首轮锚点精读</x:v>
      </x:c>
      <x:c r="T7" s="7" t="str">
        <x:v>核对综述的实际对象、文献时段、任务类别、分类框架、安全接口与证据维度；确定我们可以新增的比较。</x:v>
      </x:c>
      <x:c r="U7" s="16" t="str"/>
      <x:c r="V7" s="7" t="str">
        <x:v>https://www.mdpi.com/2073-8994/18/7/1141
https://doi.org/10.3390/sym18071141</x:v>
      </x:c>
      <x:c r="W7" s="13"/>
      <x:c r="X7" s="17" t="str"/>
      <x:c r="Y7" s="7" t="str">
        <x:v>综述</x:v>
      </x:c>
    </x:row>
    <x:row r="8" ht="40" customHeight="1">
      <x:c r="A8" s="7" t="str">
        <x:v>R14</x:v>
      </x:c>
      <x:c r="B8" s="7" t="str">
        <x:v>1 引言</x:v>
      </x:c>
      <x:c r="C8" s="7" t="str">
        <x:v>4 综合评价与研究展望
2 系统框架与问题建模</x:v>
      </x:c>
      <x:c r="D8" s="7" t="str">
        <x:v>Q01、Q23、Q02、Q24</x:v>
      </x:c>
      <x:c r="E8" s="7" t="str">
        <x:v>AI与信息物理系统支撑的分布式卫星运行，关注安全、可信、自主及应用挑战。</x:v>
      </x:c>
      <x:c r="F8" s="7" t="str">
        <x:v>Artificial Intelligence for Trusted Autonomous Satellite Operations</x:v>
      </x:c>
      <x:c r="G8" s="7" t="str">
        <x:v>面向可信自主卫星运行的人工智能</x:v>
      </x:c>
      <x:c r="H8" s="14" t="str">
        <x:v>10.1016/j.paerosci.2023.100960</x:v>
      </x:c>
      <x:c r="I8" s="12" t="n">
        <x:v>2024</x:v>
      </x:c>
      <x:c r="J8" s="7" t="str">
        <x:v>Progress in Aerospace Sciences</x:v>
      </x:c>
      <x:c r="K8" s="7" t="str">
        <x:v>AI与信息物理系统支撑的分布式卫星运行，关注安全、可信、自主及应用挑战。</x:v>
      </x:c>
      <x:c r="L8" s="7" t="str">
        <x:v>该综述的范围、模型假设和约束分类待逐项全文提取。</x:v>
      </x:c>
      <x:c r="M8" s="7" t="str">
        <x:v>综述归纳材料；具体技术结论需回溯原始研究。</x:v>
      </x:c>
      <x:c r="N8" s="7" t="str">
        <x:v>出版社公开摘要和正文片段</x:v>
      </x:c>
      <x:c r="O8" s="7" t="str">
        <x:v>沿用前轮提取；待完整全文核查</x:v>
      </x:c>
      <x:c r="P8" s="7" t="str">
        <x:v>尚无经全文核查的精确页码、章节或图表位置。</x:v>
      </x:c>
      <x:c r="Q8" s="7" t="str">
        <x:v>对照既有综述，界定本文范围和拟议贡献。 作为既有综述或分类参照。</x:v>
      </x:c>
      <x:c r="R8" s="7" t="str">
        <x:v>系统级可信自主运行已有直接综述；必须明确运维能力与调度接口的新增比较。
DOI含2023；Progress in Aerospace Sciences正式卷期2024。</x:v>
      </x:c>
      <x:c r="S8" s="7" t="str">
        <x:v>首轮锚点精读</x:v>
      </x:c>
      <x:c r="T8" s="7" t="str">
        <x:v>核对综述的实际对象、文献时段、任务类别、分类框架、安全接口与证据维度；确定我们可以新增的比较。</x:v>
      </x:c>
      <x:c r="U8" s="16" t="str"/>
      <x:c r="V8" s="7" t="str">
        <x:v>https://doi.org/10.1016/j.paerosci.2023.100960</x:v>
      </x:c>
      <x:c r="W8" s="13"/>
      <x:c r="X8" s="17" t="str"/>
      <x:c r="Y8" s="7" t="str">
        <x:v>综述</x:v>
      </x:c>
    </x:row>
    <x:row r="9" ht="40" customHeight="1">
      <x:c r="A9" s="7" t="str">
        <x:v>R06</x:v>
      </x:c>
      <x:c r="B9" s="7" t="str">
        <x:v>1 引言</x:v>
      </x:c>
      <x:c r="C9" s="7" t="str">
        <x:v>3.3 安全执行与异常恢复</x:v>
      </x:c>
      <x:c r="D9" s="7" t="str">
        <x:v>Q01、Q19</x:v>
      </x:c>
      <x:c r="E9" s="7" t="str">
        <x:v>巨型星座发展、天文和环境影响、空间监视、寿命末处置与治理。</x:v>
      </x:c>
      <x:c r="F9" s="7" t="str">
        <x:v>LEO Mega Constellations: Review of Development, Impact, Surveillance, and Governance</x:v>
      </x:c>
      <x:c r="G9" s="7" t="str">
        <x:v>低轨巨型星座：发展、影响、监视与治理综述</x:v>
      </x:c>
      <x:c r="H9" s="14" t="str">
        <x:v>10.34133/2022/9865174</x:v>
      </x:c>
      <x:c r="I9" s="12" t="n">
        <x:v>2022</x:v>
      </x:c>
      <x:c r="J9" s="7" t="str">
        <x:v>Space: Science &amp; Technology</x:v>
      </x:c>
      <x:c r="K9" s="7" t="str">
        <x:v>巨型星座发展、天文和环境影响、空间监视、寿命末处置与治理。</x:v>
      </x:c>
      <x:c r="L9" s="7" t="str">
        <x:v>该综述的范围、模型假设和约束分类待逐项全文提取。</x:v>
      </x:c>
      <x:c r="M9" s="7" t="str">
        <x:v>综述归纳材料；具体技术结论需回溯原始研究。</x:v>
      </x:c>
      <x:c r="N9" s="7" t="str">
        <x:v>出版社摘要与注册元数据摘要</x:v>
      </x:c>
      <x:c r="O9" s="7" t="str">
        <x:v>沿用前轮提取；待完整全文核查</x:v>
      </x:c>
      <x:c r="P9" s="7" t="str">
        <x:v>尚无经全文核查的精确页码、章节或图表位置。</x:v>
      </x:c>
      <x:c r="Q9" s="7" t="str">
        <x:v>对照既有综述，界定本文范围和拟议贡献。 作为既有综述或分类参照。</x:v>
      </x:c>
      <x:c r="R9" s="7" t="str">
        <x:v>用于引言和运维需求背景；不直接提供服务调度算法分类。
背景与安全治理资料。</x:v>
      </x:c>
      <x:c r="S9" s="7" t="str">
        <x:v>背景或方法参照</x:v>
      </x:c>
      <x:c r="T9" s="7" t="str">
        <x:v>核对综述的实际对象、文献时段、任务类别、分类框架、安全接口与证据维度；确定我们可以新增的比较。</x:v>
      </x:c>
      <x:c r="U9" s="16" t="str"/>
      <x:c r="V9" s="7" t="str">
        <x:v>https://spj.science.org/doi/10.34133/2022/9865174
https://doi.org/10.34133/2022/9865174</x:v>
      </x:c>
      <x:c r="W9" s="13"/>
      <x:c r="X9" s="17" t="str"/>
      <x:c r="Y9" s="7" t="str">
        <x:v>综述</x:v>
      </x:c>
    </x:row>
    <x:row r="10" ht="40" customHeight="1">
      <x:c r="A10" s="7" t="str">
        <x:v>O16</x:v>
      </x:c>
      <x:c r="B10" s="7" t="str">
        <x:v>2 系统框架与问题建模</x:v>
      </x:c>
      <x:c r="C10" s="7" t="str">
        <x:v>3.4 跨层耦合与闭环协同</x:v>
      </x:c>
      <x:c r="D10" s="7" t="str">
        <x:v>Q02、Q21</x:v>
      </x:c>
      <x:c r="E10" s="7" t="str">
        <x:v>轨道运动下如何形成与维护低开销管理域？</x:v>
      </x:c>
      <x:c r="F10" s="7" t="str">
        <x:v>Dynamic Management Topology Construction, Evolution, and Maintenance of Low Earth Orbit Mega-Constellation</x:v>
      </x:c>
      <x:c r="G10" s="7" t="str">
        <x:v>低轨巨型星座动态管理拓扑的构建、演化与维护</x:v>
      </x:c>
      <x:c r="H10" s="14" t="str">
        <x:v>10.34133/space.0248</x:v>
      </x:c>
      <x:c r="I10" s="12" t="n">
        <x:v>2025</x:v>
      </x:c>
      <x:c r="J10" s="7" t="str">
        <x:v>Space: Science &amp; Technology</x:v>
      </x:c>
      <x:c r="K10" s="7" t="str">
        <x:v>分布管理域划分、切换预测与快速管理维护。</x:v>
      </x:c>
      <x:c r="L10" s="7" t="str">
        <x:v>传输时延、更新频率、时变星座关系。</x:v>
      </x:c>
      <x:c r="M10" s="7" t="str">
        <x:v>数值管理拓扑研究。</x:v>
      </x:c>
      <x:c r="N10" s="7" t="str">
        <x:v>作者机构稿摘要与注册摘要</x:v>
      </x:c>
      <x:c r="O10" s="7" t="str">
        <x:v>沿用前轮提取；待完整全文核查</x:v>
      </x:c>
      <x:c r="P10" s="7" t="str">
        <x:v>尚无经全文核查的精确页码、章节或图表位置。</x:v>
      </x:c>
      <x:c r="Q10" s="7" t="str">
        <x:v>直接支持系统架构，需区分管理拓扑与任务／轨迹可行性。</x:v>
      </x:c>
      <x:c r="R10" s="7" t="str">
        <x:v>2025-03-21正式发表；不把新闻发布日期当论文日期。
2025-03-21正式发表；不把新闻发布日期当论文日期。</x:v>
      </x:c>
      <x:c r="S10" s="7" t="str">
        <x:v>首轮锚点精读</x:v>
      </x:c>
      <x:c r="T10" s="7" t="str">
        <x:v>管理拓扑与任务可行性网络是否相同？拓扑维护触发、规模和消息成本如何计量？</x:v>
      </x:c>
      <x:c r="U10" s="16" t="str"/>
      <x:c r="V10" s="7" t="str">
        <x:v>https://re.public.polimi.it/bitstream/11311/1294046/1/MAOYW01-25.pdf
https://doi.org/10.34133/space.0248</x:v>
      </x:c>
      <x:c r="W10" s="13"/>
      <x:c r="X10" s="17" t="str"/>
      <x:c r="Y10" s="7" t="str">
        <x:v>研究／方法</x:v>
      </x:c>
    </x:row>
    <x:row r="11" ht="38" customHeight="1">
      <x:c r="A11" s="7" t="str">
        <x:v>O21</x:v>
      </x:c>
      <x:c r="B11" s="7" t="str">
        <x:v>2 系统框架与问题建模</x:v>
      </x:c>
      <x:c r="C11" s="7" t="str">
        <x:v>3.4 跨层耦合与闭环协同
4 综合评价与研究展望</x:v>
      </x:c>
      <x:c r="D11" s="7" t="str">
        <x:v>Q02、Q21、Q23</x:v>
      </x:c>
      <x:c r="E11" s="7" t="str">
        <x:v>如何将任务自主决策和运行时适应接入可复用软件架构？</x:v>
      </x:c>
      <x:c r="F11" s="7" t="str">
        <x:v>Reference architecture for autonomy and adaptivity in satellites</x:v>
      </x:c>
      <x:c r="G11" s="7" t="str">
        <x:v>卫星自主性与自适应能力的参考架构</x:v>
      </x:c>
      <x:c r="H11" s="14" t="str">
        <x:v>10.1016/j.jss.2026.112802</x:v>
      </x:c>
      <x:c r="I11" s="12" t="n">
        <x:v>2026</x:v>
      </x:c>
      <x:c r="J11" s="7" t="str">
        <x:v>Journal of Systems and Software</x:v>
      </x:c>
      <x:c r="K11" s="7" t="str">
        <x:v>参考架构、MAPE-K反馈、系统性文献基础及专家验证。</x:v>
      </x:c>
      <x:c r="L11" s="7" t="str">
        <x:v>软件分区、执行反馈、可重构与安全保证。</x:v>
      </x:c>
      <x:c r="M11" s="7" t="str">
        <x:v>架构实例化与专家验证，不据此认定在轨规模验证。</x:v>
      </x:c>
      <x:c r="N11" s="7" t="str">
        <x:v>出版社公开摘要、引言与研究问题</x:v>
      </x:c>
      <x:c r="O11" s="7" t="str">
        <x:v>沿用前轮提取；待完整全文核查</x:v>
      </x:c>
      <x:c r="P11" s="7" t="str">
        <x:v>尚无经全文核查的精确页码、章节或图表位置。</x:v>
      </x:c>
      <x:c r="Q11" s="7" t="str">
        <x:v>补齐规划—执行—监控的软件接口；主体是平台级任务自主性。</x:v>
      </x:c>
      <x:c r="R11" s="7" t="str">
        <x:v>正式卷期2026年6月；星座规划是后续工作，不能写成已完成能力。
正式卷期2026年6月；星座规划是后续工作，不能写成已完成能力。</x:v>
      </x:c>
      <x:c r="S11" s="7" t="str">
        <x:v>首轮锚点精读</x:v>
      </x:c>
      <x:c r="T11" s="7" t="str">
        <x:v>状态、规划、执行、监控和适应模块之间有什么正式接口与运行验证？</x:v>
      </x:c>
      <x:c r="U11" s="16" t="str"/>
      <x:c r="V11" s="7" t="str">
        <x:v>https://www.sciencedirect.com/science/article/pii/S0164121226000361
https://doi.org/10.1016/j.jss.2026.112802</x:v>
      </x:c>
      <x:c r="W11" s="13"/>
      <x:c r="X11" s="17" t="str"/>
      <x:c r="Y11" s="7" t="str">
        <x:v>研究／方法</x:v>
      </x:c>
    </x:row>
    <x:row r="12" ht="54" customHeight="1">
      <x:c r="A12" s="7" t="str">
        <x:v>O60</x:v>
      </x:c>
      <x:c r="B12" s="7" t="str">
        <x:v>2 系统框架与问题建模</x:v>
      </x:c>
      <x:c r="C12" s="7" t="str">
        <x:v>4 综合评价与研究展望</x:v>
      </x:c>
      <x:c r="D12" s="7" t="str">
        <x:v>Q03、Q22</x:v>
      </x:c>
      <x:c r="E12" s="7" t="str">
        <x:v>如何从遥测预测误差中发现异常，同时控制误报？</x:v>
      </x:c>
      <x:c r="F12" s="7" t="str">
        <x:v>Detecting Spacecraft Anomalies Using LSTMs and Nonparametric Dynamic Thresholding</x:v>
      </x:c>
      <x:c r="G12" s="7" t="str">
        <x:v>利用LSTM与非参数动态阈值检测航天器异常</x:v>
      </x:c>
      <x:c r="H12" s="14" t="str">
        <x:v>10.1145/3219819.3219845</x:v>
      </x:c>
      <x:c r="I12" s="12" t="n">
        <x:v>2018</x:v>
      </x:c>
      <x:c r="J12" s="7" t="str">
        <x:v>Proceedings of the 24th ACM SIGKDD International Conference on Knowledge Discovery &amp; Data Mining</x:v>
      </x:c>
      <x:c r="K12" s="7" t="str">
        <x:v>LSTM时序预测、非参数动态阈值与误报缓解。</x:v>
      </x:c>
      <x:c r="L12" s="7" t="str">
        <x:v>专家标记遥测、各信号通道的时序变化；阈值机制依赖误差分布。</x:v>
      </x:c>
      <x:c r="M12" s="7" t="str">
        <x:v>SMAP卫星和MSL火星车的专家标记遥测；阈值与误报抑制对照。</x:v>
      </x:c>
      <x:c r="N12" s="7" t="str">
        <x:v>2026-10-09核查作者公开稿摘要、实验设置及阈值比较片段。</x:v>
      </x:c>
      <x:c r="O12" s="7" t="str">
        <x:v>本轮已核原文局部；完整精读待完成</x:v>
      </x:c>
      <x:c r="P12" s="7" t="str">
        <x:v>作者公开稿v3：摘要；§3方法目录；§4.1数据设置；§4.2阈值对照；§4.3表2阈值结果。</x:v>
      </x:c>
      <x:c r="Q12" s="7" t="str">
        <x:v>补齐管理系统的健康监测输入，以及预测、阈值和调度之间的接口。</x:v>
      </x:c>
      <x:c r="R12" s="7" t="str">
        <x:v>真实遥测检测证据不直接证明自动恢复或星座级闭环；训练窗口和评价口径需保留。
KDD 2018会议论文；预印本与正式版本合并。</x:v>
      </x:c>
      <x:c r="S12" s="7" t="str">
        <x:v>首轮锚点精读</x:v>
      </x:c>
      <x:c r="T12" s="7" t="str">
        <x:v>训练／测试和异常标签怎样划分？动态阈值及事件级误报怎样评估？</x:v>
      </x:c>
      <x:c r="U12" s="16" t="str"/>
      <x:c r="V12" s="7" t="str">
        <x:v>https://arxiv.org/html/1802.04431v3
https://arxiv.org/abs/1802.04431
https://dl.acm.org/doi/10.1145/3219819.3219845
https://doi.org/10.1145/3219819.3219845</x:v>
      </x:c>
      <x:c r="W12" s="13" t="d">
        <x:v>2026-10-09T00:00:00.000Z</x:v>
      </x:c>
      <x:c r="X12" s="17" t="str"/>
      <x:c r="Y12" s="7" t="str">
        <x:v>研究／方法</x:v>
      </x:c>
    </x:row>
    <x:row r="13" ht="38" customHeight="1">
      <x:c r="A13" s="7" t="str">
        <x:v>O95</x:v>
      </x:c>
      <x:c r="B13" s="7" t="str">
        <x:v>2 系统框架与问题建模</x:v>
      </x:c>
      <x:c r="C13" s="7" t="str">
        <x:v>3.2 动态任务与多资源联合调度
4 综合评价与研究展望</x:v>
      </x:c>
      <x:c r="D13" s="7" t="str">
        <x:v>Q02、Q15、Q22</x:v>
      </x:c>
      <x:c r="E13" s="7" t="str">
        <x:v>集中、广播协同和高度去中心化架构如何影响观测分配？</x:v>
      </x:c>
      <x:c r="F13" s="7" t="str">
        <x:v>Decentralized Observation Allocation for a Large-Scale Constellation</x:v>
      </x:c>
      <x:c r="G13" s="7" t="str">
        <x:v>大型星座的去中心化观测分配</x:v>
      </x:c>
      <x:c r="H13" s="14" t="str">
        <x:v>10.2514/1.I011215</x:v>
      </x:c>
      <x:c r="I13" s="12" t="n">
        <x:v>2023</x:v>
      </x:c>
      <x:c r="J13" s="7" t="str">
        <x:v>Journal of Aerospace Information Systems</x:v>
      </x:c>
      <x:c r="K13" s="7" t="str">
        <x:v>比较集中式、广播式去中心化与高度去中心化分配，分析请求竞争和协同成本。</x:v>
      </x:c>
      <x:c r="L13" s="7" t="str">
        <x:v>观测请求、存储／转动等运行限制与消息交互；完整模型待提取。</x:v>
      </x:c>
      <x:c r="M13" s="7" t="str">
        <x:v>作者公开期刊论文的架构与仿真比较。</x:v>
      </x:c>
      <x:c r="N13" s="7" t="str">
        <x:v>JPL作者公开全文的架构概述</x:v>
      </x:c>
      <x:c r="O13" s="7" t="str">
        <x:v>沿用前轮提取；待完整全文核查</x:v>
      </x:c>
      <x:c r="P13" s="7" t="str">
        <x:v>尚无经全文核查的精确页码、章节或图表位置。</x:v>
      </x:c>
      <x:c r="Q13" s="7" t="str">
        <x:v>作为架构比较基线，连接集中式运行和局部自主协同。</x:v>
      </x:c>
      <x:c r="R13" s="7" t="str">
        <x:v>分配架构与用户隐私DCOP属于不同信息模型；星座数与请求数需分开统计。
2023年正式期刊论文。</x:v>
      </x:c>
      <x:c r="S13" s="7" t="str">
        <x:v>首轮锚点精读</x:v>
      </x:c>
      <x:c r="T13" s="7" t="str">
        <x:v>集中、广播和高度去中心化架构各自需要什么信息？资源约束和通信量怎样比较？</x:v>
      </x:c>
      <x:c r="U13" s="16" t="str"/>
      <x:c r="V13" s="7" t="str">
        <x:v>https://ai.jpl.nasa.gov/public/documents/papers/parjan-jais2023-mas.pdf
https://arc.aiaa.org/doi/10.2514/1.I011215
https://doi.org/10.2514/1.I011215</x:v>
      </x:c>
      <x:c r="W13" s="13"/>
      <x:c r="X13" s="17" t="str"/>
      <x:c r="Y13" s="7" t="str">
        <x:v>研究／方法</x:v>
      </x:c>
    </x:row>
    <x:row r="14" ht="40" customHeight="1">
      <x:c r="A14" s="7" t="str">
        <x:v>O24</x:v>
      </x:c>
      <x:c r="B14" s="7" t="str">
        <x:v>2 系统框架与问题建模</x:v>
      </x:c>
      <x:c r="C14" s="7" t="str">
        <x:v>3.2 动态任务与多资源联合调度
4 综合评价与研究展望</x:v>
      </x:c>
      <x:c r="D14" s="7" t="str">
        <x:v>Q02、Q13、Q23</x:v>
      </x:c>
      <x:c r="E14" s="7" t="str">
        <x:v>星上规划应用需要什么计算、接口与可靠性架构？</x:v>
      </x:c>
      <x:c r="F14" s="7" t="str">
        <x:v>A high-performance onboard computing architecture for autonomous satellite mission planning</x:v>
      </x:c>
      <x:c r="G14" s="7" t="str">
        <x:v>面向卫星自主任务规划的高性能星载计算架构</x:v>
      </x:c>
      <x:c r="H14" s="14" t="str">
        <x:v>10.1038/s41598-026-41483-6</x:v>
      </x:c>
      <x:c r="I14" s="12" t="n">
        <x:v>2026</x:v>
      </x:c>
      <x:c r="J14" s="7" t="str">
        <x:v>Scientific Reports</x:v>
      </x:c>
      <x:c r="K14" s="7" t="str">
        <x:v>CPU、FPGA 与智能加速模块组成单板平台。模块化应用框架支持部署、重配置和系统监测。</x:v>
      </x:c>
      <x:c r="L14" s="7" t="str">
        <x:v>抗辐射、容错冗余、接口时序及空间环境适应性。</x:v>
      </x:c>
      <x:c r="M14" s="7" t="str">
        <x:v>作者报告地面功能、环境试验及初步在轨工程验证。</x:v>
      </x:c>
      <x:c r="N14" s="7" t="str">
        <x:v>出版社公开摘要及正文第 V—VIII 节。</x:v>
      </x:c>
      <x:c r="O14" s="7" t="str">
        <x:v>沿用前轮提取；待完整全文核查</x:v>
      </x:c>
      <x:c r="P14" s="7" t="str">
        <x:v>尚无经全文核查的精确页码、章节或图表位置。</x:v>
      </x:c>
      <x:c r="Q14" s="7" t="str">
        <x:v>支撑工程部署与算法计算预算讨论。</x:v>
      </x:c>
      <x:c r="R14" s="7" t="str">
        <x:v>正文明确没有量化比较具体自主规划或智能算法的性能。
首次发表 2026-02-21；出版社另列 Version of record 2026-03-26。</x:v>
      </x:c>
      <x:c r="S14" s="7" t="str">
        <x:v>第二轮专题精读</x:v>
      </x:c>
      <x:c r="T14" s="7" t="str">
        <x:v>提取节点／代理定义、状态与任务数据、规划触发、执行接口、人工监督、故障检测及恢复动作。</x:v>
      </x:c>
      <x:c r="U14" s="16" t="str"/>
      <x:c r="V14" s="7" t="str">
        <x:v>https://www.nature.com/articles/s41598-026-41483-6
https://doi.org/10.1038/s41598-026-41483-6</x:v>
      </x:c>
      <x:c r="W14" s="13"/>
      <x:c r="X14" s="17" t="str"/>
      <x:c r="Y14" s="7" t="str">
        <x:v>研究／方法</x:v>
      </x:c>
    </x:row>
    <x:row r="15" ht="40" customHeight="1">
      <x:c r="A15" s="7" t="str">
        <x:v>O61</x:v>
      </x:c>
      <x:c r="B15" s="7" t="str">
        <x:v>2 系统框架与问题建模</x:v>
      </x:c>
      <x:c r="C15" s="7" t="str">
        <x:v>4 综合评价与研究展望</x:v>
      </x:c>
      <x:c r="D15" s="7" t="str">
        <x:v>Q03、Q22</x:v>
      </x:c>
      <x:c r="E15" s="7" t="str">
        <x:v>异常样本稀少且模型预测不确定时，如何改善异常识别？</x:v>
      </x:c>
      <x:c r="F15" s="7" t="str">
        <x:v>Imbalanced satellite telemetry data anomaly detection model based on Bayesian LSTM</x:v>
      </x:c>
      <x:c r="G15" s="7" t="str">
        <x:v>基于贝叶斯LSTM的不平衡卫星遥测数据异常检测模型</x:v>
      </x:c>
      <x:c r="H15" s="14" t="str">
        <x:v>10.1016/j.actaastro.2020.12.012</x:v>
      </x:c>
      <x:c r="I15" s="12" t="n">
        <x:v>2021</x:v>
      </x:c>
      <x:c r="J15" s="7" t="str">
        <x:v>Acta Astronautica</x:v>
      </x:c>
      <x:c r="K15" s="7" t="str">
        <x:v>MC dropout双向LSTM，用方差、熵和互信息刻画不确定性；VAE复评高不确定样本。</x:v>
      </x:c>
      <x:c r="L15" s="7" t="str">
        <x:v>遥测类别不平衡；预测不确定性与异常判断需区分。</x:v>
      </x:c>
      <x:c r="M15" s="7" t="str">
        <x:v>遥测检测实验；数据划分和真实事件覆盖待提取。</x:v>
      </x:c>
      <x:c r="N15" s="7" t="str">
        <x:v>出版社摘要与方法说明</x:v>
      </x:c>
      <x:c r="O15" s="7" t="str">
        <x:v>沿用前轮提取；待完整全文核查</x:v>
      </x:c>
      <x:c r="P15" s="7" t="str">
        <x:v>尚无经全文核查的精确页码、章节或图表位置。</x:v>
      </x:c>
      <x:c r="Q15" s="7" t="str">
        <x:v>把健康监测从确定分类拓展到不平衡学习和模型不确定性。</x:v>
      </x:c>
      <x:c r="R15" s="7" t="str">
        <x:v>不确定性估计不是自动具有校准的风险上界；检测能力不能外推到所有故障。
2020年在线、2021年卷期，使用正式卷期年。</x:v>
      </x:c>
      <x:c r="S15" s="7" t="str">
        <x:v>第二轮专题精读</x:v>
      </x:c>
      <x:c r="T15" s="7" t="str">
        <x:v>提取节点／代理定义、状态与任务数据、规划触发、执行接口、人工监督、故障检测及恢复动作。</x:v>
      </x:c>
      <x:c r="U15" s="16" t="str"/>
      <x:c r="V15" s="7" t="str">
        <x:v>https://www.sciencedirect.com/science/article/pii/S0094576520307463
https://doi.org/10.1016/j.actaastro.2020.12.012</x:v>
      </x:c>
      <x:c r="W15" s="13"/>
      <x:c r="X15" s="17" t="str"/>
      <x:c r="Y15" s="7" t="str">
        <x:v>研究／方法</x:v>
      </x:c>
    </x:row>
    <x:row r="16" ht="38" customHeight="1">
      <x:c r="A16" s="7" t="str">
        <x:v>O62</x:v>
      </x:c>
      <x:c r="B16" s="7" t="str">
        <x:v>2 系统框架与问题建模</x:v>
      </x:c>
      <x:c r="C16" s="7" t="str">
        <x:v>无额外章节</x:v>
      </x:c>
      <x:c r="D16" s="7" t="str">
        <x:v>Q03</x:v>
      </x:c>
      <x:c r="E16" s="7" t="str">
        <x:v>仅用正常遥测训练时，如何通过参数重构残差识别异常？</x:v>
      </x:c>
      <x:c r="F16" s="7" t="str">
        <x:v>Adaptive Parameters Reconstruction Model for Satellite Fault Detection</x:v>
      </x:c>
      <x:c r="G16" s="7" t="str">
        <x:v>用于卫星故障检测的自适应参数重构模型</x:v>
      </x:c>
      <x:c r="H16" s="14" t="str">
        <x:v>10.1016/j.ifacol.2025.11.522</x:v>
      </x:c>
      <x:c r="I16" s="12" t="n">
        <x:v>2025</x:v>
      </x:c>
      <x:c r="J16" s="7" t="str">
        <x:v>IFAC-PapersOnLine</x:v>
      </x:c>
      <x:c r="K16" s="7" t="str">
        <x:v>正常数据驱动的深度重构模型，以重构残差判定故障。</x:v>
      </x:c>
      <x:c r="L16" s="7" t="str">
        <x:v>训练依赖正常数据；子系统参数关系与残差阈值。</x:v>
      </x:c>
      <x:c r="M16" s="7" t="str">
        <x:v>电源与热控子系统实验；数据来源与事件范围待全文提取。</x:v>
      </x:c>
      <x:c r="N16" s="7" t="str">
        <x:v>出版社摘要</x:v>
      </x:c>
      <x:c r="O16" s="7" t="str">
        <x:v>沿用前轮提取；待完整全文核查</x:v>
      </x:c>
      <x:c r="P16" s="7" t="str">
        <x:v>尚无经全文核查的精确页码、章节或图表位置。</x:v>
      </x:c>
      <x:c r="Q16" s="7" t="str">
        <x:v>补充无故障标签场景，比较预测误差型与重构误差型监测。</x:v>
      </x:c>
      <x:c r="R16" s="7" t="str">
        <x:v>不需故障训练标签不代表能够识别所有故障类型或确定故障原因。
2025年IFAC会议论文集条目，保留出版类型。</x:v>
      </x:c>
      <x:c r="S16" s="7" t="str">
        <x:v>第二轮专题精读</x:v>
      </x:c>
      <x:c r="T16" s="7" t="str">
        <x:v>提取节点／代理定义、状态与任务数据、规划触发、执行接口、人工监督、故障检测及恢复动作。</x:v>
      </x:c>
      <x:c r="U16" s="16" t="str"/>
      <x:c r="V16" s="7" t="str">
        <x:v>https://www.sciencedirect.com/science/article/pii/S2405896325022001
https://doi.org/10.1016/j.ifacol.2025.11.522</x:v>
      </x:c>
      <x:c r="W16" s="13"/>
      <x:c r="X16" s="17" t="str"/>
      <x:c r="Y16" s="7" t="str">
        <x:v>研究／方法</x:v>
      </x:c>
    </x:row>
    <x:row r="17" ht="40" customHeight="1">
      <x:c r="A17" s="7" t="str">
        <x:v>O63</x:v>
      </x:c>
      <x:c r="B17" s="7" t="str">
        <x:v>2 系统框架与问题建模</x:v>
      </x:c>
      <x:c r="C17" s="7" t="str">
        <x:v>4 综合评价与研究展望</x:v>
      </x:c>
      <x:c r="D17" s="7" t="str">
        <x:v>Q03、Q22</x:v>
      </x:c>
      <x:c r="E17" s="7" t="str">
        <x:v>遥测分布变化时，如何更新异常检测模型并限制不可靠更新？</x:v>
      </x:c>
      <x:c r="F17" s="7" t="str">
        <x:v>Validation-gated continual learning for anomaly detection in satellite telemetry</x:v>
      </x:c>
      <x:c r="G17" s="7" t="str">
        <x:v>用于卫星遥测异常检测的验证门控持续学习</x:v>
      </x:c>
      <x:c r="H17" s="14" t="str">
        <x:v>10.1016/j.actaastro.2026.07.065</x:v>
      </x:c>
      <x:c r="I17" s="12" t="n">
        <x:v>2026</x:v>
      </x:c>
      <x:c r="J17" s="7" t="str">
        <x:v>Acta Astronautica</x:v>
      </x:c>
      <x:c r="K17" s="7" t="str">
        <x:v>验证门控的持续再训练、记忆回放与LSTM预测，围绕Telemanom流程更新。</x:v>
      </x:c>
      <x:c r="L17" s="7" t="str">
        <x:v>数据稀缺、分布漂移、更新准入规则与历史记忆。</x:v>
      </x:c>
      <x:c r="M17" s="7" t="str">
        <x:v>公开任务遥测基准实验。</x:v>
      </x:c>
      <x:c r="N17" s="7" t="str">
        <x:v>出版社摘要与实验设置概述</x:v>
      </x:c>
      <x:c r="O17" s="7" t="str">
        <x:v>沿用前轮提取；待完整全文核查</x:v>
      </x:c>
      <x:c r="P17" s="7" t="str">
        <x:v>尚无经全文核查的精确页码、章节或图表位置。</x:v>
      </x:c>
      <x:c r="Q17" s="7" t="str">
        <x:v>为长期自主运维增加模型更新与验证机制。</x:v>
      </x:c>
      <x:c r="R17" s="7" t="str">
        <x:v>离线基准的验证门控不等于已在星持续学习；需提取更新时延、门控规则和异常泄漏控制。
2026-07-31在线；卷期安排为2026年12月，当前已公开。</x:v>
      </x:c>
      <x:c r="S17" s="7" t="str">
        <x:v>第二轮专题精读</x:v>
      </x:c>
      <x:c r="T17" s="7" t="str">
        <x:v>提取节点／代理定义、状态与任务数据、规划触发、执行接口、人工监督、故障检测及恢复动作。</x:v>
      </x:c>
      <x:c r="U17" s="16" t="str"/>
      <x:c r="V17" s="7" t="str">
        <x:v>https://www.sciencedirect.com/science/article/pii/S0094576526005187
https://doi.org/10.1016/j.actaastro.2026.07.065</x:v>
      </x:c>
      <x:c r="W17" s="13"/>
      <x:c r="X17" s="17" t="str"/>
      <x:c r="Y17" s="7" t="str">
        <x:v>研究／方法</x:v>
      </x:c>
    </x:row>
    <x:row r="18" ht="54" customHeight="1">
      <x:c r="A18" s="7" t="str">
        <x:v>O22</x:v>
      </x:c>
      <x:c r="B18" s="7" t="str">
        <x:v>2 系统框架与问题建模</x:v>
      </x:c>
      <x:c r="C18" s="7" t="str">
        <x:v>3.4 跨层耦合与闭环协同
4 综合评价与研究展望</x:v>
      </x:c>
      <x:c r="D18" s="7" t="str">
        <x:v>Q02、Q21、Q23</x:v>
      </x:c>
      <x:c r="E18" s="7" t="str">
        <x:v>引入星上自主后，任务运行流程如何改变？</x:v>
      </x:c>
      <x:c r="F18" s="7" t="str">
        <x:v>Mission Operations of Earth Observing-1 with Onboard Autonomy</x:v>
      </x:c>
      <x:c r="G18" s="7" t="str">
        <x:v>具有星上自主能力的 Earth Observing-1 任务运行</x:v>
      </x:c>
      <x:c r="H18" s="14" t="str">
        <x:v>10.1109/SMC-IT.2006.48</x:v>
      </x:c>
      <x:c r="I18" s="12" t="n">
        <x:v>2006</x:v>
      </x:c>
      <x:c r="J18" s="7" t="str">
        <x:v>2nd IEEE International Conference on Space Mission Challenges for Information Technology (SMC-IT'06)</x:v>
      </x:c>
      <x:c r="K18" s="7" t="str">
        <x:v>Autonomous Sciencecraft Experiment（ASE）的运行流程与地面交互设计。</x:v>
      </x:c>
      <x:c r="L18" s="7" t="str">
        <x:v>星上科学处理、任务活动与地面运行职责。</x:v>
      </x:c>
      <x:c r="M18" s="7" t="str">
        <x:v>NASA/JPL 任务运行经验报告。</x:v>
      </x:c>
      <x:c r="N18" s="7" t="str">
        <x:v>NASA NTRS 摘要与 JPL 公开论文入口。PDF 字符映射异常，未据其提取全文数值。</x:v>
      </x:c>
      <x:c r="O18" s="7" t="str">
        <x:v>沿用前轮提取；待完整全文核查</x:v>
      </x:c>
      <x:c r="P18" s="7" t="str">
        <x:v>尚无经全文核查的精确页码、章节或图表位置。</x:v>
      </x:c>
      <x:c r="Q18" s="7" t="str">
        <x:v>为系统架构与闭环执行章节提供工程背景。</x:v>
      </x:c>
      <x:c r="R18" s="7" t="str">
        <x:v>飞行经验属于单星；不能作为大型星座调度效果的验证。
采用 SMC-IT 2006 会议 DOI；NASA 页面把保存稿列为 Preprint。</x:v>
      </x:c>
      <x:c r="S18" s="7" t="str">
        <x:v>背景或方法参照</x:v>
      </x:c>
      <x:c r="T18" s="7" t="str">
        <x:v>提取节点／代理定义、状态与任务数据、规划触发、执行接口、人工监督、故障检测及恢复动作。</x:v>
      </x:c>
      <x:c r="U18" s="16" t="str"/>
      <x:c r="V18" s="7" t="str">
        <x:v>https://ntrs.nasa.gov/citations/20060050174
https://ai.jpl.nasa.gov/public/documents/papers/rabideau-ieeesmcit06-eo1.pdf
https://doi.org/10.1109/SMC-IT.2006.48</x:v>
      </x:c>
      <x:c r="W18" s="13"/>
      <x:c r="X18" s="17" t="str"/>
      <x:c r="Y18" s="7" t="str">
        <x:v>研究／方法</x:v>
      </x:c>
    </x:row>
    <x:row r="19" ht="38" customHeight="1">
      <x:c r="A19" s="7" t="str">
        <x:v>O59</x:v>
      </x:c>
      <x:c r="B19" s="7" t="str">
        <x:v>2 系统框架与问题建模</x:v>
      </x:c>
      <x:c r="C19" s="7" t="str">
        <x:v>3.3 安全执行与异常恢复
3.4 跨层耦合与闭环协同
4 综合评价与研究展望</x:v>
      </x:c>
      <x:c r="D19" s="7" t="str">
        <x:v>Q02、Q20、Q21、Q23</x:v>
      </x:c>
      <x:c r="E19" s="7" t="str">
        <x:v>规划、执行、状态识别与故障恢复如何形成统一的自主运行系统？</x:v>
      </x:c>
      <x:c r="F19" s="7" t="str">
        <x:v>Remote Agent: to boldly go where no AI system has gone before</x:v>
      </x:c>
      <x:c r="G19" s="7" t="str">
        <x:v>Remote Agent：大胆迈向此前AI系统未曾涉足的领域</x:v>
      </x:c>
      <x:c r="H19" s="14" t="str">
        <x:v>10.1016/S0004-3702(98)00068-X</x:v>
      </x:c>
      <x:c r="I19" s="12" t="n">
        <x:v>1998</x:v>
      </x:c>
      <x:c r="J19" s="7" t="str">
        <x:v>Artificial Intelligence</x:v>
      </x:c>
      <x:c r="K19" s="7" t="str">
        <x:v>模型驱动的时序规划、多线程执行，以及模式识别与重配置。</x:v>
      </x:c>
      <x:c r="L19" s="7" t="str">
        <x:v>执行资源与时序、设备状态及故障模型。</x:v>
      </x:c>
      <x:c r="M19" s="7" t="str">
        <x:v>系统架构、实现与计划演示描述。</x:v>
      </x:c>
      <x:c r="N19" s="7" t="str">
        <x:v>作者公开全文的架构与演示状态</x:v>
      </x:c>
      <x:c r="O19" s="7" t="str">
        <x:v>沿用前轮提取；待完整全文核查</x:v>
      </x:c>
      <x:c r="P19" s="7" t="str">
        <x:v>尚无经全文核查的精确页码、章节或图表位置。</x:v>
      </x:c>
      <x:c r="Q19" s="7" t="str">
        <x:v>解释智能管理应包含状态估计、执行监控与恢复闭环。</x:v>
      </x:c>
      <x:c r="R19" s="7" t="str">
        <x:v>1998年的本文不能作为其后实际飞行演示结果，也不能证明大型星座性能。
经典自主航天器架构论文；按本文发表时的证据描述。</x:v>
      </x:c>
      <x:c r="S19" s="7" t="str">
        <x:v>背景或方法参照</x:v>
      </x:c>
      <x:c r="T19" s="7" t="str">
        <x:v>提取节点／代理定义、状态与任务数据、规划触发、执行接口、人工监督、故障检测及恢复动作。</x:v>
      </x:c>
      <x:c r="U19" s="16" t="str"/>
      <x:c r="V19" s="7" t="str">
        <x:v>https://people.csail.mit.edu/williams/Web%20site/papers/aij98.pdf
https://doi.org/10.1016/S0004-3702(98)00068-X</x:v>
      </x:c>
      <x:c r="W19" s="13"/>
      <x:c r="X19" s="17" t="str"/>
      <x:c r="Y19" s="7" t="str">
        <x:v>研究／方法</x:v>
      </x:c>
    </x:row>
    <x:row r="20" ht="38" customHeight="1">
      <x:c r="A20" s="7" t="str">
        <x:v>O76</x:v>
      </x:c>
      <x:c r="B20" s="7" t="str">
        <x:v>2 系统框架与问题建模</x:v>
      </x:c>
      <x:c r="C20" s="7" t="str">
        <x:v>3.2 动态任务与多资源联合调度
3.4 跨层耦合与闭环协同
4 综合评价与研究展望</x:v>
      </x:c>
      <x:c r="D20" s="7" t="str">
        <x:v>Q02、Q12、Q21、Q23</x:v>
      </x:c>
      <x:c r="E20" s="7" t="str">
        <x:v>需求提交、自动排班、冲突修复和人工协商如何组成运行系统？</x:v>
      </x:c>
      <x:c r="F20" s="7" t="str">
        <x:v>Automated Scheduling for NASA's Deep Space Network</x:v>
      </x:c>
      <x:c r="G20" s="7" t="str">
        <x:v>NASA深空网络的自动调度</x:v>
      </x:c>
      <x:c r="H20" s="14" t="str">
        <x:v>10.1609/aimag.v35i4.2552</x:v>
      </x:c>
      <x:c r="I20" s="12" t="n">
        <x:v>2014</x:v>
      </x:c>
      <x:c r="J20" s="7" t="str">
        <x:v>AI Magazine</x:v>
      </x:c>
      <x:c r="K20" s="7" t="str">
        <x:v>DSE调度引擎，将需求展开为跟踪时段，再搜索修复；支持网络协商流程。</x:v>
      </x:c>
      <x:c r="L20" s="7" t="str">
        <x:v>任务需求、跟踪时段、设施冲突与用户协商。</x:v>
      </x:c>
      <x:c r="M20" s="7" t="str">
        <x:v>论文报告的系统设计与运行部署。</x:v>
      </x:c>
      <x:c r="N20" s="7" t="str">
        <x:v>AAAI出版社文章</x:v>
      </x:c>
      <x:c r="O20" s="7" t="str">
        <x:v>沿用前轮提取；待完整全文核查</x:v>
      </x:c>
      <x:c r="P20" s="7" t="str">
        <x:v>尚无经全文核查的精确页码、章节或图表位置。</x:v>
      </x:c>
      <x:c r="Q20" s="7" t="str">
        <x:v>支持人机协作、需求接口、执行排班与冲突处理的架构章节。</x:v>
      </x:c>
      <x:c r="R20" s="7" t="str">
        <x:v>系统经验适合架构参考；不直接提供大型LEO星座的性能保证。
2014年AI Magazine技术研究与系统经验论文。</x:v>
      </x:c>
      <x:c r="S20" s="7" t="str">
        <x:v>背景或方法参照</x:v>
      </x:c>
      <x:c r="T20" s="7" t="str">
        <x:v>提取节点／代理定义、状态与任务数据、规划触发、执行接口、人工监督、故障检测及恢复动作。</x:v>
      </x:c>
      <x:c r="U20" s="16" t="str"/>
      <x:c r="V20" s="7" t="str">
        <x:v>https://ojs.aaai.org/aimagazine/index.php/aimagazine/article/view/2552
https://doi.org/10.1609/aimag.v35i4.2552</x:v>
      </x:c>
      <x:c r="W20" s="13"/>
      <x:c r="X20" s="17" t="str"/>
      <x:c r="Y20" s="7" t="str">
        <x:v>研究／方法</x:v>
      </x:c>
    </x:row>
    <x:row r="21" ht="40" customHeight="1">
      <x:c r="A21" s="7" t="str">
        <x:v>R01</x:v>
      </x:c>
      <x:c r="B21" s="7" t="str">
        <x:v>2 系统框架与问题建模</x:v>
      </x:c>
      <x:c r="C21" s="7" t="str">
        <x:v>3.2 动态任务与多资源联合调度
1 引言</x:v>
      </x:c>
      <x:c r="D21" s="7" t="str">
        <x:v>Q02、Q15、Q01</x:v>
      </x:c>
      <x:c r="E21" s="7" t="str">
        <x:v>按单星／多星、地面离线／星上在线／星地一体组织自主与协同任务规划。</x:v>
      </x:c>
      <x:c r="F21" s="7" t="str">
        <x:v>Review on Satellite Autonomous and Collaborative Task Scheduling Planning</x:v>
      </x:c>
      <x:c r="G21" s="7" t="str">
        <x:v>卫星自主与协同任务调度规划综述</x:v>
      </x:c>
      <x:c r="H21" s="14" t="str">
        <x:v>10.16383/j.aas.c180068</x:v>
      </x:c>
      <x:c r="I21" s="12" t="n">
        <x:v>2019</x:v>
      </x:c>
      <x:c r="J21" s="7" t="str">
        <x:v>自动化学报</x:v>
      </x:c>
      <x:c r="K21" s="7" t="str">
        <x:v>按单星／多星、地面离线／星上在线／星地一体组织自主与协同任务规划。</x:v>
      </x:c>
      <x:c r="L21" s="7" t="str">
        <x:v>该综述的范围、模型假设和约束分类待逐项全文提取。</x:v>
      </x:c>
      <x:c r="M21" s="7" t="str">
        <x:v>综述归纳材料；具体技术结论需回溯原始研究。</x:v>
      </x:c>
      <x:c r="N21" s="7" t="str">
        <x:v>期刊摘要与可读正文</x:v>
      </x:c>
      <x:c r="O21" s="7" t="str">
        <x:v>沿用前轮提取；待完整全文核查</x:v>
      </x:c>
      <x:c r="P21" s="7" t="str">
        <x:v>尚无经全文核查的精确页码、章节或图表位置。</x:v>
      </x:c>
      <x:c r="Q21" s="7" t="str">
        <x:v>建立共同系统框架，并解释后续方法在架构中的位置。 作为既有综述或分类参照。</x:v>
      </x:c>
      <x:c r="R21" s="7" t="str">
        <x:v>用于架构章节；需要进一步比较在轨运维需求、轨迹见证与任务连续性。
中文原文，英文为期刊提供的对应题名。</x:v>
      </x:c>
      <x:c r="S21" s="7" t="str">
        <x:v>背景或方法参照</x:v>
      </x:c>
      <x:c r="T21" s="7" t="str">
        <x:v>核对综述的实际对象、文献时段、任务类别、分类框架、安全接口与证据维度；确定我们可以新增的比较。</x:v>
      </x:c>
      <x:c r="U21" s="16" t="str"/>
      <x:c r="V21" s="7" t="str">
        <x:v>https://www.aas.net.cn/cn/article/doi/10.16383/j.aas.c180068
https://doi.org/10.16383/j.aas.c180068</x:v>
      </x:c>
      <x:c r="W21" s="13"/>
      <x:c r="X21" s="17" t="str"/>
      <x:c r="Y21" s="7" t="str">
        <x:v>综述</x:v>
      </x:c>
    </x:row>
    <x:row r="22" ht="40" customHeight="1">
      <x:c r="A22" s="7" t="str">
        <x:v>R02</x:v>
      </x:c>
      <x:c r="B22" s="7" t="str">
        <x:v>2 系统框架与问题建模</x:v>
      </x:c>
      <x:c r="C22" s="7" t="str">
        <x:v>3.3 安全执行与异常恢复
3.4 跨层耦合与闭环协同
1 引言</x:v>
      </x:c>
      <x:c r="D22" s="7" t="str">
        <x:v>Q02、Q20、Q21、Q01</x:v>
      </x:c>
      <x:c r="E22" s="7" t="str">
        <x:v>模型驱动星上规划，讨论时间规划、层次规划、计划修复及飞行软件集成。</x:v>
      </x:c>
      <x:c r="F22" s="7" t="str">
        <x:v>On-board Automated Mission Planning for Spacecraft Autonomy: A Survey</x:v>
      </x:c>
      <x:c r="G22" s="7" t="str">
        <x:v>面向航天器自主性的星上自动任务规划综述</x:v>
      </x:c>
      <x:c r="H22" s="14" t="str">
        <x:v>10.1109/TLA.2019.8896810</x:v>
      </x:c>
      <x:c r="I22" s="12" t="n">
        <x:v>2019</x:v>
      </x:c>
      <x:c r="J22" s="7" t="str">
        <x:v>IEEE Latin America Transactions</x:v>
      </x:c>
      <x:c r="K22" s="7" t="str">
        <x:v>模型驱动星上规划，讨论时间规划、层次规划、计划修复及飞行软件集成。</x:v>
      </x:c>
      <x:c r="L22" s="7" t="str">
        <x:v>该综述的范围、模型假设和约束分类待逐项全文提取。</x:v>
      </x:c>
      <x:c r="M22" s="7" t="str">
        <x:v>综述归纳材料；具体技术结论需回溯原始研究。</x:v>
      </x:c>
      <x:c r="N22" s="7" t="str">
        <x:v>期刊摘要</x:v>
      </x:c>
      <x:c r="O22" s="7" t="str">
        <x:v>沿用前轮提取；待完整全文核查</x:v>
      </x:c>
      <x:c r="P22" s="7" t="str">
        <x:v>尚无经全文核查的精确页码、章节或图表位置。</x:v>
      </x:c>
      <x:c r="Q22" s="7" t="str">
        <x:v>建立共同系统框架，并解释后续方法在架构中的位置。 作为既有综述或分类参照。</x:v>
      </x:c>
      <x:c r="R22" s="7" t="str">
        <x:v>用于区分自动化与自主决策，补充计划执行和修复接口。
卷期为2019年6月；期刊网页发布记录为2019-11-07。</x:v>
      </x:c>
      <x:c r="S22" s="7" t="str">
        <x:v>背景或方法参照</x:v>
      </x:c>
      <x:c r="T22" s="7" t="str">
        <x:v>核对综述的实际对象、文献时段、任务类别、分类框架、安全接口与证据维度；确定我们可以新增的比较。</x:v>
      </x:c>
      <x:c r="U22" s="16" t="str"/>
      <x:c r="V22" s="7" t="str">
        <x:v>https://latamt.ieeer9.org/index.php/transactions/article/view/1387
https://doi.org/10.1109/TLA.2019.8896810</x:v>
      </x:c>
      <x:c r="W22" s="13"/>
      <x:c r="X22" s="17" t="str"/>
      <x:c r="Y22" s="7" t="str">
        <x:v>综述</x:v>
      </x:c>
    </x:row>
    <x:row r="23" ht="40" customHeight="1">
      <x:c r="A23" s="7" t="str">
        <x:v>R05</x:v>
      </x:c>
      <x:c r="B23" s="7" t="str">
        <x:v>2 系统框架与问题建模</x:v>
      </x:c>
      <x:c r="C23" s="7" t="str">
        <x:v>1 引言
4 综合评价与研究展望</x:v>
      </x:c>
      <x:c r="D23" s="7" t="str">
        <x:v>Q02、Q01、Q23</x:v>
      </x:c>
      <x:c r="E23" s="7" t="str">
        <x:v>分布式卫星系统分类及自动化运行工具。</x:v>
      </x:c>
      <x:c r="F23" s="7" t="str">
        <x:v>Towards the automated operations of large distributed satellite systems. Part 2: Classifications and tools</x:v>
      </x:c>
      <x:c r="G23" s="7" t="str">
        <x:v>迈向大型分布式卫星系统自动化运行，第二部分：分类与工具</x:v>
      </x:c>
      <x:c r="H23" s="14" t="str">
        <x:v>10.1016/j.asr.2020.08.018</x:v>
      </x:c>
      <x:c r="I23" s="12" t="n">
        <x:v>2021</x:v>
      </x:c>
      <x:c r="J23" s="7" t="str">
        <x:v>Advances in Space Research</x:v>
      </x:c>
      <x:c r="K23" s="7" t="str">
        <x:v>分布式卫星系统分类及自动化运行工具。</x:v>
      </x:c>
      <x:c r="L23" s="7" t="str">
        <x:v>该综述的范围、模型假设和约束分类待逐项全文提取。</x:v>
      </x:c>
      <x:c r="M23" s="7" t="str">
        <x:v>综述归纳材料；具体技术结论需回溯原始研究。</x:v>
      </x:c>
      <x:c r="N23" s="7" t="str">
        <x:v>出版社公开内容与Crossref题名</x:v>
      </x:c>
      <x:c r="O23" s="7" t="str">
        <x:v>沿用前轮提取；待完整全文核查</x:v>
      </x:c>
      <x:c r="P23" s="7" t="str">
        <x:v>尚无经全文核查的精确页码、章节或图表位置。</x:v>
      </x:c>
      <x:c r="Q23" s="7" t="str">
        <x:v>建立共同系统框架，并解释后续方法在架构中的位置。 作为既有综述或分类参照。</x:v>
      </x:c>
      <x:c r="R23" s="7" t="str">
        <x:v>用于系统类型、软件和工程工具章节；具体工具能力应回到原文核对。
不把两个Part重复当作同一篇，也不合并其结论。</x:v>
      </x:c>
      <x:c r="S23" s="7" t="str">
        <x:v>背景或方法参照</x:v>
      </x:c>
      <x:c r="T23" s="7" t="str">
        <x:v>核对综述的实际对象、文献时段、任务类别、分类框架、安全接口与证据维度；确定我们可以新增的比较。</x:v>
      </x:c>
      <x:c r="U23" s="16" t="str"/>
      <x:c r="V23" s="7" t="str">
        <x:v>https://www.sciencedirect.com/science/article/pii/S0273117720305925
https://doi.org/10.1016/j.asr.2020.08.018</x:v>
      </x:c>
      <x:c r="W23" s="13"/>
      <x:c r="X23" s="17" t="str"/>
      <x:c r="Y23" s="7" t="str">
        <x:v>综述</x:v>
      </x:c>
    </x:row>
    <x:row r="24" ht="40" customHeight="1">
      <x:c r="A24" s="7" t="str">
        <x:v>R20</x:v>
      </x:c>
      <x:c r="B24" s="7" t="str">
        <x:v>2 系统框架与问题建模</x:v>
      </x:c>
      <x:c r="C24" s="7" t="str">
        <x:v>3.2 动态任务与多资源联合调度
1 引言</x:v>
      </x:c>
      <x:c r="D24" s="7" t="str">
        <x:v>Q02、Q13、Q16、Q01</x:v>
      </x:c>
      <x:c r="E24" s="7" t="str">
        <x:v>业务预测、动态拓扑、移动性、星地接入、路由和多维资源管理。</x:v>
      </x:c>
      <x:c r="F24" s="7" t="str">
        <x:v>A Survey of Intelligent Networking Technologies for LEO Mega-Constellations</x:v>
      </x:c>
      <x:c r="G24" s="7" t="str">
        <x:v>低轨巨型星座智能组网技术综述-“空天地一体化智能网联”专刊</x:v>
      </x:c>
      <x:c r="H24" s="14" t="str">
        <x:v>10.7527/S1000-6893.2026.32935</x:v>
      </x:c>
      <x:c r="I24" s="12" t="n">
        <x:v>2026</x:v>
      </x:c>
      <x:c r="J24" s="7" t="str">
        <x:v>航空学报</x:v>
      </x:c>
      <x:c r="K24" s="7" t="str">
        <x:v>业务预测、动态拓扑、移动性、星地接入、路由和多维资源管理。</x:v>
      </x:c>
      <x:c r="L24" s="7" t="str">
        <x:v>该综述的范围、模型假设和约束分类待逐项全文提取。</x:v>
      </x:c>
      <x:c r="M24" s="7" t="str">
        <x:v>综述归纳材料；具体技术结论需回溯原始研究。</x:v>
      </x:c>
      <x:c r="N24" s="7" t="str">
        <x:v>期刊中英文摘要与编目</x:v>
      </x:c>
      <x:c r="O24" s="7" t="str">
        <x:v>沿用前轮提取；待完整全文核查</x:v>
      </x:c>
      <x:c r="P24" s="7" t="str">
        <x:v>尚无经全文核查的精确页码、章节或图表位置。</x:v>
      </x:c>
      <x:c r="Q24" s="7" t="str">
        <x:v>建立共同系统框架，并解释后续方法在架构中的位置。 作为既有综述或分类参照。</x:v>
      </x:c>
      <x:c r="R24" s="7" t="str">
        <x:v>保留为通信与资源接口背景，避免把综述重心扩展到完整网络技术。
网页题名包含专刊标签，最终参考文献题名应再核正式PDF。</x:v>
      </x:c>
      <x:c r="S24" s="7" t="str">
        <x:v>背景或方法参照</x:v>
      </x:c>
      <x:c r="T24" s="7" t="str">
        <x:v>核对综述的实际对象、文献时段、任务类别、分类框架、安全接口与证据维度；确定我们可以新增的比较。</x:v>
      </x:c>
      <x:c r="U24" s="16" t="str"/>
      <x:c r="V24" s="7" t="str">
        <x:v>https://hkxb.buaa.edu.cn/CN/10.7527/S1000-6893.2026.32935
https://doi.org/10.7527/S1000-6893.2026.32935</x:v>
      </x:c>
      <x:c r="W24" s="13"/>
      <x:c r="X24" s="17" t="str"/>
      <x:c r="Y24" s="7" t="str">
        <x:v>综述</x:v>
      </x:c>
    </x:row>
    <x:row r="25" ht="40" customHeight="1">
      <x:c r="A25" s="7" t="str">
        <x:v>O117</x:v>
      </x:c>
      <x:c r="B25" s="7" t="str">
        <x:v>2 系统框架与问题建模</x:v>
      </x:c>
      <x:c r="C25" s="7" t="str">
        <x:v>无额外章节</x:v>
      </x:c>
      <x:c r="D25" s="7" t="str">
        <x:v>Q02</x:v>
      </x:c>
      <x:c r="E25" s="7" t="str">
        <x:v>链路／载荷故障时，传播拓扑如何影响信息到达？</x:v>
      </x:c>
      <x:c r="F25" s="7" t="str">
        <x:v>Inter-Satellite Link Network Real-Time Ring Dissemination Performance and Robustness</x:v>
      </x:c>
      <x:c r="G25" s="7" t="str">
        <x:v>星间链路网络实时环形传播的性能与鲁棒性</x:v>
      </x:c>
      <x:c r="H25" s="14" t="str">
        <x:v>10.3390/engproc2026126009</x:v>
      </x:c>
      <x:c r="I25" s="12" t="n">
        <x:v>2026</x:v>
      </x:c>
      <x:c r="J25" s="7" t="str">
        <x:v>European Navigation Conference 2025</x:v>
      </x:c>
      <x:c r="K25" s="7" t="str">
        <x:v>当前仅作主题定位；具体模型与算法待一手全文提取。</x:v>
      </x:c>
      <x:c r="L25" s="7" t="str">
        <x:v>关键假设与约束待全文提取。</x:v>
      </x:c>
      <x:c r="M25" s="7" t="str">
        <x:v>验证类型、设置和结果待全文提取。</x:v>
      </x:c>
      <x:c r="N25" s="7" t="str">
        <x:v>出版社公开正文片段与Crossref编目（待全文确认）</x:v>
      </x:c>
      <x:c r="O25" s="7" t="str">
        <x:v>题名或片段定位；技术内容待核</x:v>
      </x:c>
      <x:c r="P25" s="7" t="str">
        <x:v>尚无经全文核查的精确页码、章节或图表位置。</x:v>
      </x:c>
      <x:c r="Q25" s="7" t="str">
        <x:v>补充协同系统中指令传播与恢复拓扑的底层条件。</x:v>
      </x:c>
      <x:c r="R25" s="7" t="str">
        <x:v>消息传播不等于任务分配；MEO通信假设与LEO不同。
2026-02-11会议论文集条目。</x:v>
      </x:c>
      <x:c r="S25" s="7" t="str">
        <x:v>待全文判定</x:v>
      </x:c>
      <x:c r="T25" s="7" t="str">
        <x:v>提取节点／代理定义、状态与任务数据、规划触发、执行接口、人工监督、故障检测及恢复动作。</x:v>
      </x:c>
      <x:c r="U25" s="16" t="str"/>
      <x:c r="V25" s="7" t="str">
        <x:v>https://www.mdpi.com/2673-4591/126/1/9
https://doi.org/10.3390/engproc2026126009</x:v>
      </x:c>
      <x:c r="W25" s="13"/>
      <x:c r="X25" s="17" t="str"/>
      <x:c r="Y25" s="7" t="str">
        <x:v>研究／方法</x:v>
      </x:c>
    </x:row>
    <x:row r="26" ht="40" customHeight="1">
      <x:c r="A26" s="7" t="str">
        <x:v>O01</x:v>
      </x:c>
      <x:c r="B26" s="7" t="str">
        <x:v>3.1 长期能力配置与运维决策</x:v>
      </x:c>
      <x:c r="C26" s="7" t="str">
        <x:v>3.2 动态任务与多资源联合调度
3.4 跨层耦合与闭环协同</x:v>
      </x:c>
      <x:c r="D26" s="7" t="str">
        <x:v>Q07、Q06、Q08、Q21</x:v>
      </x:c>
      <x:c r="E26" s="7" t="str">
        <x:v>需求随时间不确定时，如何组织服务船和仓库运行并评价长期价值？</x:v>
      </x:c>
      <x:c r="F26" s="7" t="str">
        <x:v>Framework for Modeling and Optimization of On-Orbit Servicing Operations Under Demand Uncertainties</x:v>
      </x:c>
      <x:c r="G26" s="7" t="str">
        <x:v>需求不确定性下在轨服务运行的建模与优化框架</x:v>
      </x:c>
      <x:c r="H26" s="14" t="str">
        <x:v>10.2514/1.A34978</x:v>
      </x:c>
      <x:c r="I26" s="12" t="n">
        <x:v>2021</x:v>
      </x:c>
      <x:c r="J26" s="7" t="str">
        <x:v>Journal of Spacecraft and Rockets</x:v>
      </x:c>
      <x:c r="K26" s="7" t="str">
        <x:v>混合整数线性规划＋滚动时域。</x:v>
      </x:c>
      <x:c r="L26" s="7" t="str">
        <x:v>服务需求、资源、轨迹与物流操作。</x:v>
      </x:c>
      <x:c r="M26" s="7" t="str">
        <x:v>数值案例；未核到在轨运行验证。</x:v>
      </x:c>
      <x:c r="N26" s="7" t="str">
        <x:v>出版社摘要与作者公开稿</x:v>
      </x:c>
      <x:c r="O26" s="7" t="str">
        <x:v>沿用前轮提取；待完整全文核查</x:v>
      </x:c>
      <x:c r="P26" s="7" t="str">
        <x:v>尚无经全文核查的精确页码、章节或图表位置。</x:v>
      </x:c>
      <x:c r="Q26" s="7" t="str">
        <x:v>直接支撑需求前准备与需求后调度的连接；GEO性能不外推LEO。</x:v>
      </x:c>
      <x:c r="R26" s="7" t="str">
        <x:v>主记录采用2021正式DOI，arXiv为全文入口而不重复计数。
主记录采用2021正式DOI，arXiv为全文入口而不重复计数。</x:v>
      </x:c>
      <x:c r="S26" s="7" t="str">
        <x:v>首轮锚点精读</x:v>
      </x:c>
      <x:c r="T26" s="7" t="str">
        <x:v>需求情景、两阶段决策与运行网络如何连接配置和服务调度？转移代价在哪一层计算？</x:v>
      </x:c>
      <x:c r="U26" s="16" t="str"/>
      <x:c r="V26" s="7" t="str">
        <x:v>https://arxiv.org/abs/2103.08962
https://doi.org/10.2514/1.A34978</x:v>
      </x:c>
      <x:c r="W26" s="13"/>
      <x:c r="X26" s="17" t="str"/>
      <x:c r="Y26" s="7" t="str">
        <x:v>研究／方法</x:v>
      </x:c>
    </x:row>
    <x:row r="27" ht="40" customHeight="1">
      <x:c r="A27" s="7" t="str">
        <x:v>O04</x:v>
      </x:c>
      <x:c r="B27" s="7" t="str">
        <x:v>3.1 长期能力配置与运维决策</x:v>
      </x:c>
      <x:c r="C27" s="7" t="str">
        <x:v>3.2 动态任务与多资源联合调度
3.3 安全执行与异常恢复
3.4 跨层耦合与闭环协同</x:v>
      </x:c>
      <x:c r="D27" s="7" t="str">
        <x:v>Q06、Q08、Q18、Q21</x:v>
      </x:c>
      <x:c r="E27" s="7" t="str">
        <x:v>连续轨道位置能否与客户访问序列共同优化？</x:v>
      </x:c>
      <x:c r="F27" s="7" t="str">
        <x:v>Orbital Depot Location Optimization for Satellite Constellation Servicing with Low-Thrust Transfers</x:v>
      </x:c>
      <x:c r="G27" s="7" t="str">
        <x:v>低推力转移下卫星星座服务轨道仓库位置优化</x:v>
      </x:c>
      <x:c r="H27" s="14" t="str">
        <x:v>10.2514/1.A36386</x:v>
      </x:c>
      <x:c r="I27" s="12" t="n">
        <x:v>2026</x:v>
      </x:c>
      <x:c r="J27" s="7" t="str">
        <x:v>Journal of Spacecraft and Rockets</x:v>
      </x:c>
      <x:c r="K27" s="7" t="str">
        <x:v>混合整数非线性模型，MILP／NLP交替求解，解析转移估计。</x:v>
      </x:c>
      <x:c r="L27" s="7" t="str">
        <x:v>低推力转移、仓库位置、访问顺序和部署质量。</x:v>
      </x:c>
      <x:c r="M27" s="7" t="str">
        <x:v>数值试验。</x:v>
      </x:c>
      <x:c r="N27" s="7" t="str">
        <x:v>作者公开稿摘要与出版元数据</x:v>
      </x:c>
      <x:c r="O27" s="7" t="str">
        <x:v>沿用前轮提取；待完整全文核查</x:v>
      </x:c>
      <x:c r="P27" s="7" t="str">
        <x:v>尚无经全文核查的精确页码、章节或图表位置。</x:v>
      </x:c>
      <x:c r="Q27" s="7" t="str">
        <x:v>直接比较固定候选点与连续配置；低推力简化与相位处理需阅读全文。</x:v>
      </x:c>
      <x:c r="R27" s="7" t="str">
        <x:v>2025预印本对应2026正式卷期，采用期刊DOI。
2025预印本对应2026正式卷期，采用期刊DOI。</x:v>
      </x:c>
      <x:c r="S27" s="7" t="str">
        <x:v>首轮锚点精读</x:v>
      </x:c>
      <x:c r="T27" s="7" t="str">
        <x:v>连续仓库位置与访问序列如何交替求解？低推力、相位与转移可行性怎样处理？</x:v>
      </x:c>
      <x:c r="U27" s="16" t="str"/>
      <x:c r="V27" s="7" t="str">
        <x:v>https://arxiv.org/abs/2502.15914
https://doi.org/10.2514/1.A36386</x:v>
      </x:c>
      <x:c r="W27" s="13"/>
      <x:c r="X27" s="17" t="str"/>
      <x:c r="Y27" s="7" t="str">
        <x:v>研究／方法</x:v>
      </x:c>
    </x:row>
    <x:row r="28" ht="40" customHeight="1">
      <x:c r="A28" s="7" t="str">
        <x:v>O06</x:v>
      </x:c>
      <x:c r="B28" s="7" t="str">
        <x:v>3.1 长期能力配置与运维决策</x:v>
      </x:c>
      <x:c r="C28" s="7" t="str">
        <x:v>3.4 跨层耦合与闭环协同
4 综合评价与研究展望</x:v>
      </x:c>
      <x:c r="D28" s="7" t="str">
        <x:v>Q05、Q07、Q21、Q24</x:v>
      </x:c>
      <x:c r="E28" s="7" t="str">
        <x:v>新星补充与服务恢复如何共同满足星座维护需求？</x:v>
      </x:c>
      <x:c r="F28" s="7" t="str">
        <x:v>On-Orbit Servicing-Integrated Maintenance Strategy for a Satellite Constellation</x:v>
      </x:c>
      <x:c r="G28" s="7" t="str">
        <x:v>融合在轨服务的卫星星座维护策略</x:v>
      </x:c>
      <x:c r="H28" s="14" t="str">
        <x:v>10.2514/1.A36684</x:v>
      </x:c>
      <x:c r="I28" s="12" t="n">
        <x:v>2026</x:v>
      </x:c>
      <x:c r="J28" s="7" t="str">
        <x:v>Journal of Spacecraft and Rockets</x:v>
      </x:c>
      <x:c r="K28" s="7" t="str">
        <x:v>库存模型与单／双目标优化，考虑运营方和服务方利益。</x:v>
      </x:c>
      <x:c r="L28" s="7" t="str">
        <x:v>失效、服务恢复、补给、参数化库存与成本。</x:v>
      </x:c>
      <x:c r="M28" s="7" t="str">
        <x:v>数值维护案例。</x:v>
      </x:c>
      <x:c r="N28" s="7" t="str">
        <x:v>出版社及作者公开稿摘要</x:v>
      </x:c>
      <x:c r="O28" s="7" t="str">
        <x:v>沿用前轮提取；待完整全文核查</x:v>
      </x:c>
      <x:c r="P28" s="7" t="str">
        <x:v>尚无经全文核查的精确页码、章节或图表位置。</x:v>
      </x:c>
      <x:c r="Q28" s="7" t="str">
        <x:v>直接连接运维效能和服务调度，是B主题的重要近邻。</x:v>
      </x:c>
      <x:c r="R28" s="7" t="str">
        <x:v>在线2026-08-03。相关会议稿DOI 10.2514/6.2026-2631，重合程度待全文核对，本表不另计该会议稿。
在线2026-08-03。相关会议稿DOI 10.2514/6.2026-2631，重合程度待全文核对，本表不另计该会议稿。</x:v>
      </x:c>
      <x:c r="S28" s="7" t="str">
        <x:v>首轮锚点精读</x:v>
      </x:c>
      <x:c r="T28" s="7" t="str">
        <x:v>维护策略怎样组合替换、补网和在轨服务？哪些运行／故障成本决定选择？</x:v>
      </x:c>
      <x:c r="U28" s="16" t="str"/>
      <x:c r="V28" s="7" t="str">
        <x:v>https://doi.org/10.2514/1.A36684</x:v>
      </x:c>
      <x:c r="W28" s="13"/>
      <x:c r="X28" s="17" t="str"/>
      <x:c r="Y28" s="7" t="str">
        <x:v>研究／方法</x:v>
      </x:c>
    </x:row>
    <x:row r="29" ht="54" customHeight="1">
      <x:c r="A29" s="7" t="str">
        <x:v>O27</x:v>
      </x:c>
      <x:c r="B29" s="7" t="str">
        <x:v>3.1 长期能力配置与运维决策</x:v>
      </x:c>
      <x:c r="C29" s="7" t="str">
        <x:v>4 综合评价与研究展望</x:v>
      </x:c>
      <x:c r="D29" s="7" t="str">
        <x:v>Q05、Q07、Q22</x:v>
      </x:c>
      <x:c r="E29" s="7" t="str">
        <x:v>怎样配置轨道备份库存，满足可靠性要求并降低维护成本？</x:v>
      </x:c>
      <x:c r="F29" s="7" t="str">
        <x:v>Optimal Satellite Constellation Spare Strategy Using Multi-Echelon Inventory Control</x:v>
      </x:c>
      <x:c r="G29" s="7" t="str">
        <x:v>采用多级库存控制的最优卫星星座备份策略</x:v>
      </x:c>
      <x:c r="H29" s="14" t="str">
        <x:v>10.2514/1.A34387</x:v>
      </x:c>
      <x:c r="I29" s="12" t="n">
        <x:v>2019</x:v>
      </x:c>
      <x:c r="J29" s="7" t="str">
        <x:v>Journal of Spacecraft and Rockets</x:v>
      </x:c>
      <x:c r="K29" s="7" t="str">
        <x:v>地面、停泊轨道和轨道面内库存组成多级 (s,Q) 策略。轨道漂移决定补给等待时间，分析模型支持策略优化。</x:v>
      </x:c>
      <x:c r="L29" s="7" t="str">
        <x:v>多级(s,Q)库存、随机补给时延；轨道面内备份视为立即可用，替换延迟未计入。</x:v>
      </x:c>
      <x:c r="M29" s="7" t="str">
        <x:v>解析库存模型，以拉丁超立方抽样仿真评价精度；数值案例。</x:v>
      </x:c>
      <x:c r="N29" s="7" t="str">
        <x:v>2026-10-09核查作者公开稿摘要、§4.2假设及§5验证方式。</x:v>
      </x:c>
      <x:c r="O29" s="7" t="str">
        <x:v>本轮已核原文局部；完整精读待完成</x:v>
      </x:c>
      <x:c r="P29" s="7" t="str">
        <x:v>作者公开稿v4：§4.2模型假设；§4.3–4.4库存层级目录；§5模型精度评价开头；§6–7优化与案例目录。</x:v>
      </x:c>
      <x:c r="Q29" s="7" t="str">
        <x:v>能力配置章节的基础论文，并与上一轮 O05、O06 比较。</x:v>
      </x:c>
      <x:c r="R29" s="7" t="str">
        <x:v>解析模型采用简化库存和供给假设；面内即时替换假设需在实际星座中检验。
采用 2019 期刊版。arXiv:1807.02685 始于 2018，旧版题名含 stochastic demand and lead times。</x:v>
      </x:c>
      <x:c r="S29" s="7" t="str">
        <x:v>首轮锚点精读</x:v>
      </x:c>
      <x:c r="T29" s="7" t="str">
        <x:v>库存层级、随机故障、补给时延和服务水平怎样建模，哪些变量可优化？</x:v>
      </x:c>
      <x:c r="U29" s="16" t="str"/>
      <x:c r="V29" s="7" t="str">
        <x:v>https://arxiv.org/html/1807.02685v4
https://arxiv.org/abs/1807.02685
https://holab.ae.illinois.edu/files/2018/09/paper-spare-strategy_AIAA.pdf
https://doi.org/10.2514/1.A34387</x:v>
      </x:c>
      <x:c r="W29" s="13" t="d">
        <x:v>2026-10-09T00:00:00.000Z</x:v>
      </x:c>
      <x:c r="X29" s="17" t="str"/>
      <x:c r="Y29" s="7" t="str">
        <x:v>研究／方法</x:v>
      </x:c>
    </x:row>
    <x:row r="30" ht="40" customHeight="1">
      <x:c r="A30" s="7" t="str">
        <x:v>O28</x:v>
      </x:c>
      <x:c r="B30" s="7" t="str">
        <x:v>3.1 长期能力配置与运维决策</x:v>
      </x:c>
      <x:c r="C30" s="7" t="str">
        <x:v>3.2 动态任务与多资源联合调度</x:v>
      </x:c>
      <x:c r="D30" s="7" t="str">
        <x:v>Q06、Q08</x:v>
      </x:c>
      <x:c r="E30" s="7" t="str">
        <x:v>在任意任务起始时刻下，如何配置服务航天器数量及轨道要素？</x:v>
      </x:c>
      <x:c r="F30" s="7" t="str">
        <x:v>Deployment of On-Orbit Service Vehicles Using a Fuzzy Adaptive Particle Swarm Optimization Algorithm</x:v>
      </x:c>
      <x:c r="G30" s="7" t="str">
        <x:v>采用模糊自适应粒子群算法的在轨服务航天器部署</x:v>
      </x:c>
      <x:c r="H30" s="14" t="str">
        <x:v>10.1155/2021/6644339</x:v>
      </x:c>
      <x:c r="I30" s="12" t="n">
        <x:v>2021</x:v>
      </x:c>
      <x:c r="J30" s="7" t="str">
        <x:v>Modelling and Simulation in Engineering</x:v>
      </x:c>
      <x:c r="K30" s="7" t="str">
        <x:v>双脉冲转移 GA、分配 DPSO、起始时刻模式搜索、部署 FAPSO 构成嵌套优化。</x:v>
      </x:c>
      <x:c r="L30" s="7" t="str">
        <x:v>剩余推进剂、最多服务目标数、任务时长。使用双脉冲交会假设。</x:v>
      </x:c>
      <x:c r="M30" s="7" t="str">
        <x:v>出版社正文第 5 节，表 2—7，多个元启发式比较。</x:v>
      </x:c>
      <x:c r="N30" s="7" t="str">
        <x:v>出版社公开全文，摘要、第 2—5 节与表 2—7。</x:v>
      </x:c>
      <x:c r="O30" s="7" t="str">
        <x:v>沿用前轮提取；待完整全文核查</x:v>
      </x:c>
      <x:c r="P30" s="7" t="str">
        <x:v>尚无经全文核查的精确页码、章节或图表位置。</x:v>
      </x:c>
      <x:c r="Q30" s="7" t="str">
        <x:v>与 AST 待命轨道候选及服务能力关系直接接近，需优先比较服务关系的定义。</x:v>
      </x:c>
      <x:c r="R30" s="7" t="str">
        <x:v>有限搜索与简化交会模型的数值结果。不能据此认定连续部署空间全局完备或最优。
出版网页给出 2021-06-21，Crossref 为 2021-06-19。引用年一致，精确日存在差异。</x:v>
      </x:c>
      <x:c r="S30" s="7" t="str">
        <x:v>首轮锚点精读</x:v>
      </x:c>
      <x:c r="T30" s="7" t="str">
        <x:v>部署目标中的服务能力关系如何定义？距离／相位／窗口近似与真实可执行性有什么区别？</x:v>
      </x:c>
      <x:c r="U30" s="16" t="str"/>
      <x:c r="V30" s="7" t="str">
        <x:v>https://onlinelibrary.wiley.com/doi/10.1155/2021/6644339
https://doi.org/10.1155/2021/6644339</x:v>
      </x:c>
      <x:c r="W30" s="13"/>
      <x:c r="X30" s="17" t="str"/>
      <x:c r="Y30" s="7" t="str">
        <x:v>研究／方法</x:v>
      </x:c>
    </x:row>
    <x:row r="31" ht="40" customHeight="1">
      <x:c r="A31" s="7" t="str">
        <x:v>R08</x:v>
      </x:c>
      <x:c r="B31" s="7" t="str">
        <x:v>3.1 长期能力配置与运维决策</x:v>
      </x:c>
      <x:c r="C31" s="7" t="str">
        <x:v>3.2 动态任务与多资源联合调度
1 引言
4 综合评价与研究展望</x:v>
      </x:c>
      <x:c r="D31" s="7" t="str">
        <x:v>Q06、Q07、Q08、Q01、Q24</x:v>
      </x:c>
      <x:c r="E31" s="7" t="str">
        <x:v>按应用问题与物流方法分类，覆盖ISAM、星座、网络流、排队和库存。</x:v>
      </x:c>
      <x:c r="F31" s="7" t="str">
        <x:v>Space Logistics Modeling and Optimization: Review of the State of the Art</x:v>
      </x:c>
      <x:c r="G31" s="7" t="str">
        <x:v>空间物流建模与优化：研究现状综述</x:v>
      </x:c>
      <x:c r="H31" s="14" t="str">
        <x:v>10.2514/1.A35982</x:v>
      </x:c>
      <x:c r="I31" s="12" t="n">
        <x:v>2024</x:v>
      </x:c>
      <x:c r="J31" s="7" t="str">
        <x:v>Journal of Spacecraft and Rockets</x:v>
      </x:c>
      <x:c r="K31" s="7" t="str">
        <x:v>按应用问题与物流方法分类，覆盖ISAM、星座、网络流、排队和库存。</x:v>
      </x:c>
      <x:c r="L31" s="7" t="str">
        <x:v>该综述的范围、模型假设和约束分类待逐项全文提取。</x:v>
      </x:c>
      <x:c r="M31" s="7" t="str">
        <x:v>综述归纳材料；具体技术结论需回溯原始研究。</x:v>
      </x:c>
      <x:c r="N31" s="7" t="str">
        <x:v>出版社正文片段与作者公开稿</x:v>
      </x:c>
      <x:c r="O31" s="7" t="str">
        <x:v>沿用前轮提取；待完整全文核查</x:v>
      </x:c>
      <x:c r="P31" s="7" t="str">
        <x:v>尚无经全文核查的精确页码、章节或图表位置。</x:v>
      </x:c>
      <x:c r="Q31" s="7" t="str">
        <x:v>比较空间设施选址和服务能力配置的建模选择。 作为既有综述或分类参照。</x:v>
      </x:c>
      <x:c r="R31" s="7" t="str">
        <x:v>与资源配置和服务调度主线重叠高；特别核查动力学与物流耦合及高保真验证讨论。
作者预印本2023；正式卷期2024。</x:v>
      </x:c>
      <x:c r="S31" s="7" t="str">
        <x:v>首轮锚点精读</x:v>
      </x:c>
      <x:c r="T31" s="7" t="str">
        <x:v>核对综述的实际对象、文献时段、任务类别、分类框架、安全接口与证据维度；确定我们可以新增的比较。</x:v>
      </x:c>
      <x:c r="U31" s="16" t="str"/>
      <x:c r="V31" s="7" t="str">
        <x:v>https://doi.org/10.2514/1.A35982</x:v>
      </x:c>
      <x:c r="W31" s="13"/>
      <x:c r="X31" s="17" t="str"/>
      <x:c r="Y31" s="7" t="str">
        <x:v>综述</x:v>
      </x:c>
    </x:row>
    <x:row r="32" ht="40" customHeight="1">
      <x:c r="A32" s="7" t="str">
        <x:v>R16</x:v>
      </x:c>
      <x:c r="B32" s="7" t="str">
        <x:v>3.1 长期能力配置与运维决策</x:v>
      </x:c>
      <x:c r="C32" s="7" t="str">
        <x:v>3.3 安全执行与异常恢复
1 引言</x:v>
      </x:c>
      <x:c r="D32" s="7" t="str">
        <x:v>Q06、Q05、Q18、Q01</x:v>
      </x:c>
      <x:c r="E32" s="7" t="str">
        <x:v>低轨星座服务技术、项目、轨道环境与推进因素。</x:v>
      </x:c>
      <x:c r="F32" s="7" t="str">
        <x:v>Review of On-Orbit Servicing Considerations for Low-Earth Orbit Constellations</x:v>
      </x:c>
      <x:c r="G32" s="7" t="str">
        <x:v>低轨星座在轨服务相关因素综述</x:v>
      </x:c>
      <x:c r="H32" s="14" t="str">
        <x:v>10.2514/6.2021-4207</x:v>
      </x:c>
      <x:c r="I32" s="12" t="n">
        <x:v>2021</x:v>
      </x:c>
      <x:c r="J32" s="7" t="str">
        <x:v>ASCEND 2021</x:v>
      </x:c>
      <x:c r="K32" s="7" t="str">
        <x:v>低轨星座服务技术、项目、轨道环境与推进因素。</x:v>
      </x:c>
      <x:c r="L32" s="7" t="str">
        <x:v>该综述的范围、模型假设和约束分类待逐项全文提取。</x:v>
      </x:c>
      <x:c r="M32" s="7" t="str">
        <x:v>综述归纳材料；具体技术结论需回溯原始研究。</x:v>
      </x:c>
      <x:c r="N32" s="7" t="str">
        <x:v>MIT作者机构摘要与出版元数据</x:v>
      </x:c>
      <x:c r="O32" s="7" t="str">
        <x:v>沿用前轮提取；待完整全文核查</x:v>
      </x:c>
      <x:c r="P32" s="7" t="str">
        <x:v>尚无经全文核查的精确页码、章节或图表位置。</x:v>
      </x:c>
      <x:c r="Q32" s="7" t="str">
        <x:v>比较空间设施选址和服务能力配置的建模选择。 作为既有综述或分类参照。</x:v>
      </x:c>
      <x:c r="R32" s="7" t="str">
        <x:v>是运维服务主题的基础综述，应与最新体系配置和调度研究对照。
ASCEND 2021会议综述，有正式会议DOI。</x:v>
      </x:c>
      <x:c r="S32" s="7" t="str">
        <x:v>首轮锚点精读</x:v>
      </x:c>
      <x:c r="T32" s="7" t="str">
        <x:v>核对综述的实际对象、文献时段、任务类别、分类框架、安全接口与证据维度；确定我们可以新增的比较。</x:v>
      </x:c>
      <x:c r="U32" s="16" t="str"/>
      <x:c r="V32" s="7" t="str">
        <x:v>https://dspace.mit.edu/entities/publication/57b6bb13-362b-4b46-92dd-0e63e083a43c
https://doi.org/10.2514/6.2021-4207</x:v>
      </x:c>
      <x:c r="W32" s="13"/>
      <x:c r="X32" s="17" t="str"/>
      <x:c r="Y32" s="7" t="str">
        <x:v>综述</x:v>
      </x:c>
    </x:row>
    <x:row r="33" ht="40" customHeight="1">
      <x:c r="A33" s="7" t="str">
        <x:v>O02</x:v>
      </x:c>
      <x:c r="B33" s="7" t="str">
        <x:v>3.1 长期能力配置与运维决策</x:v>
      </x:c>
      <x:c r="C33" s="7" t="str">
        <x:v>3.2 动态任务与多资源联合调度
3.3 安全执行与异常恢复
3.4 跨层耦合与闭环协同</x:v>
      </x:c>
      <x:c r="D33" s="7" t="str">
        <x:v>Q06、Q08、Q18、Q21</x:v>
      </x:c>
      <x:c r="E33" s="7" t="str">
        <x:v>推进方式、响应性和物流操作如何联合选择？</x:v>
      </x:c>
      <x:c r="F33" s="7" t="str">
        <x:v>On-Orbit Servicing Optimization Framework with High- and Low-Thrust Propulsion Tradeoff</x:v>
      </x:c>
      <x:c r="G33" s="7" t="str">
        <x:v>兼顾高推力与低推力权衡的在轨服务优化框架</x:v>
      </x:c>
      <x:c r="H33" s="14" t="str">
        <x:v>10.2514/1.A35094</x:v>
      </x:c>
      <x:c r="I33" s="12" t="n">
        <x:v>2022</x:v>
      </x:c>
      <x:c r="J33" s="7" t="str">
        <x:v>Journal of Spacecraft and Rockets</x:v>
      </x:c>
      <x:c r="K33" s="7" t="str">
        <x:v>MILP、用户定义轨迹模型与滚动时域。</x:v>
      </x:c>
      <x:c r="L33" s="7" t="str">
        <x:v>质量相关低推力代价、需求不确定性、补给与运行资源。</x:v>
      </x:c>
      <x:c r="M33" s="7" t="str">
        <x:v>数值体系与运营案例。</x:v>
      </x:c>
      <x:c r="N33" s="7" t="str">
        <x:v>作者机构摘要与公开稿</x:v>
      </x:c>
      <x:c r="O33" s="7" t="str">
        <x:v>沿用前轮提取；待完整全文核查</x:v>
      </x:c>
      <x:c r="P33" s="7" t="str">
        <x:v>尚无经全文核查的精确页码、章节或图表位置。</x:v>
      </x:c>
      <x:c r="Q33" s="7" t="str">
        <x:v>把轨迹代价与服务调度连接，避免静态代价假设；单列GEO适用域。</x:v>
      </x:c>
      <x:c r="R33" s="7" t="str">
        <x:v>作者稿记录2021；正式卷期2022。
作者稿记录2021；正式卷期2022。</x:v>
      </x:c>
      <x:c r="S33" s="7" t="str">
        <x:v>第二轮专题精读</x:v>
      </x:c>
      <x:c r="T33" s="7" t="str">
        <x:v>提取变量、任务链、目标、窗口、资源动态与不确定性；确认收益是否需要实际完成或交付。</x:v>
      </x:c>
      <x:c r="U33" s="16" t="str"/>
      <x:c r="V33" s="7" t="str">
        <x:v>https://repository.gatech.edu/handle/1853/66801
https://doi.org/10.2514/1.A35094</x:v>
      </x:c>
      <x:c r="W33" s="13"/>
      <x:c r="X33" s="17" t="str"/>
      <x:c r="Y33" s="7" t="str">
        <x:v>研究／方法</x:v>
      </x:c>
    </x:row>
    <x:row r="34" ht="40" customHeight="1">
      <x:c r="A34" s="7" t="str">
        <x:v>O03</x:v>
      </x:c>
      <x:c r="B34" s="7" t="str">
        <x:v>3.1 长期能力配置与运维决策</x:v>
      </x:c>
      <x:c r="C34" s="7" t="str">
        <x:v>3.2 动态任务与多资源联合调度</x:v>
      </x:c>
      <x:c r="D34" s="7" t="str">
        <x:v>Q06、Q08</x:v>
      </x:c>
      <x:c r="E34" s="7" t="str">
        <x:v>服务仓库的位置与客户分配如何共同优化？</x:v>
      </x:c>
      <x:c r="F34" s="7" t="str">
        <x:v>Orbital Facility Location Problem for Satellite Constellation Servicing Depots</x:v>
      </x:c>
      <x:c r="G34" s="7" t="str">
        <x:v>卫星星座服务仓库的轨道设施选址问题</x:v>
      </x:c>
      <x:c r="H34" s="14" t="str">
        <x:v>10.2514/1.A35691</x:v>
      </x:c>
      <x:c r="I34" s="12" t="n">
        <x:v>2024</x:v>
      </x:c>
      <x:c r="J34" s="7" t="str">
        <x:v>Journal of Spacecraft and Rockets</x:v>
      </x:c>
      <x:c r="K34" s="7" t="str">
        <x:v>二元线性规划；低推力转移代价与Lyapunov反馈传播。</x:v>
      </x:c>
      <x:c r="L34" s="7" t="str">
        <x:v>仓库、服务船、推进剂、载荷与发射质量代价。</x:v>
      </x:c>
      <x:c r="M34" s="7" t="str">
        <x:v>数值架构案例。</x:v>
      </x:c>
      <x:c r="N34" s="7" t="str">
        <x:v>作者机构摘要与注册摘要</x:v>
      </x:c>
      <x:c r="O34" s="7" t="str">
        <x:v>沿用前轮提取；待完整全文核查</x:v>
      </x:c>
      <x:c r="P34" s="7" t="str">
        <x:v>尚无经全文核查的精确页码、章节或图表位置。</x:v>
      </x:c>
      <x:c r="Q34" s="7" t="str">
        <x:v>作为AST能力关系上游／下游的配置对照，注意高轨平面变化与LEO不同。</x:v>
      </x:c>
      <x:c r="R34" s="7" t="str">
        <x:v>预印本2023；正式卷期2024。
预印本2023；正式卷期2024。</x:v>
      </x:c>
      <x:c r="S34" s="7" t="str">
        <x:v>第二轮专题精读</x:v>
      </x:c>
      <x:c r="T34" s="7" t="str">
        <x:v>提取配置变量、需求和故障模型、库存／供给、服务节点与转移代价；说明配置如何改变可服务任务集。</x:v>
      </x:c>
      <x:c r="U34" s="16" t="str"/>
      <x:c r="V34" s="7" t="str">
        <x:v>https://repository.gatech.edu/entities/publication/308f4a40-c36b-460c-a2fc-e90a347f211b
https://doi.org/10.2514/1.A35691</x:v>
      </x:c>
      <x:c r="W34" s="13"/>
      <x:c r="X34" s="17" t="str"/>
      <x:c r="Y34" s="7" t="str">
        <x:v>研究／方法</x:v>
      </x:c>
    </x:row>
    <x:row r="35" ht="40" customHeight="1">
      <x:c r="A35" s="7" t="str">
        <x:v>O05</x:v>
      </x:c>
      <x:c r="B35" s="7" t="str">
        <x:v>3.1 长期能力配置与运维决策</x:v>
      </x:c>
      <x:c r="C35" s="7" t="str">
        <x:v>无额外章节</x:v>
      </x:c>
      <x:c r="D35" s="7" t="str">
        <x:v>Q05、Q07</x:v>
      </x:c>
      <x:c r="E35" s="7" t="str">
        <x:v>通过待命轨道间接补网与直接注入轨道面如何共同配置？</x:v>
      </x:c>
      <x:c r="F35" s="7" t="str">
        <x:v>Replenishment Strategy for Satellite Constellation with Dual Supply Modes</x:v>
      </x:c>
      <x:c r="G35" s="7" t="str">
        <x:v>双供给模式下的卫星星座补网策略</x:v>
      </x:c>
      <x:c r="H35" s="14" t="str">
        <x:v>10.2514/1.A36281</x:v>
      </x:c>
      <x:c r="I35" s="12" t="n">
        <x:v>2025</x:v>
      </x:c>
      <x:c r="J35" s="7" t="str">
        <x:v>Journal of Spacecraft and Rockets</x:v>
      </x:c>
      <x:c r="K35" s="7" t="str">
        <x:v>双通道库存模型、带时间窗的参数化补给策略与优化。</x:v>
      </x:c>
      <x:c r="L35" s="7" t="str">
        <x:v>备星、待命转移、发射供给和成本。</x:v>
      </x:c>
      <x:c r="M35" s="7" t="str">
        <x:v>数值供应链案例。</x:v>
      </x:c>
      <x:c r="N35" s="7" t="str">
        <x:v>作者机构摘要与编目</x:v>
      </x:c>
      <x:c r="O35" s="7" t="str">
        <x:v>沿用前轮提取；待完整全文核查</x:v>
      </x:c>
      <x:c r="P35" s="7" t="str">
        <x:v>尚无经全文核查的精确页码、章节或图表位置。</x:v>
      </x:c>
      <x:c r="Q35" s="7" t="str">
        <x:v>为服务／替换策略比较提供基线，避免只讨论服务可达性。</x:v>
      </x:c>
      <x:c r="R35" s="7" t="str">
        <x:v>2024预印本含Optimal，正式题名去掉该词；按正式题名编目。
2024预印本含Optimal，正式题名去掉该词；按正式题名编目。</x:v>
      </x:c>
      <x:c r="S35" s="7" t="str">
        <x:v>第二轮专题精读</x:v>
      </x:c>
      <x:c r="T35" s="7" t="str">
        <x:v>提取配置变量、需求和故障模型、库存／供给、服务节点与转移代价；说明配置如何改变可服务任务集。</x:v>
      </x:c>
      <x:c r="U35" s="16" t="str"/>
      <x:c r="V35" s="7" t="str">
        <x:v>https://pure.kaist.ac.kr/en/publications/replenishment-strategy-for-satellite-constellation-with-dual-supp/
https://doi.org/10.2514/1.A36281</x:v>
      </x:c>
      <x:c r="W35" s="13"/>
      <x:c r="X35" s="17" t="str"/>
      <x:c r="Y35" s="7" t="str">
        <x:v>研究／方法</x:v>
      </x:c>
    </x:row>
    <x:row r="36" ht="40" customHeight="1">
      <x:c r="A36" s="7" t="str">
        <x:v>O33</x:v>
      </x:c>
      <x:c r="B36" s="7" t="str">
        <x:v>3.1 长期能力配置与运维决策</x:v>
      </x:c>
      <x:c r="C36" s="7" t="str">
        <x:v>4 综合评价与研究展望</x:v>
      </x:c>
      <x:c r="D36" s="7" t="str">
        <x:v>Q07、Q05、Q22</x:v>
      </x:c>
      <x:c r="E36" s="7" t="str">
        <x:v>不确定失效、发射与市场条件下，在轨服务的长期价值如何评价？</x:v>
      </x:c>
      <x:c r="F36" s="7" t="str">
        <x:v>On-orbit servicing system assessment and optimization methods based on lifecycle simulation under mixed aleatory and epistemic uncertainties</x:v>
      </x:c>
      <x:c r="G36" s="7" t="str">
        <x:v>混合随机与认知不确定性下基于全寿命仿真的在轨服务系统评估与优化</x:v>
      </x:c>
      <x:c r="H36" s="14" t="str">
        <x:v>10.1016/j.actaastro.2013.02.005</x:v>
      </x:c>
      <x:c r="I36" s="12" t="n">
        <x:v>2013</x:v>
      </x:c>
      <x:c r="J36" s="7" t="str">
        <x:v>Acta Astronautica</x:v>
      </x:c>
      <x:c r="K36" s="7" t="str">
        <x:v>动态规划处理事件决策。概率与证据理论结合的 Monte Carlo 生命周期评估，再用 SOMUA-MCS 顺序优化。</x:v>
      </x:c>
      <x:c r="L36" s="7" t="str">
        <x:v>随机发射／操作／部件失效，市场趋势的认知不确定性及成本收益模型。</x:v>
      </x:c>
      <x:c r="M36" s="7" t="str">
        <x:v>生命周期仿真与混合不确定性优化案例。</x:v>
      </x:c>
      <x:c r="N36" s="7" t="str">
        <x:v>出版社摘要与公开引言。</x:v>
      </x:c>
      <x:c r="O36" s="7" t="str">
        <x:v>沿用前轮提取；待完整全文核查</x:v>
      </x:c>
      <x:c r="P36" s="7" t="str">
        <x:v>尚无经全文核查的精确页码、章节或图表位置。</x:v>
      </x:c>
      <x:c r="Q36" s="7" t="str">
        <x:v>第 1、3 章系统目标与长期价值，为为何进行能力配置提供方法基础。</x:v>
      </x:c>
      <x:c r="R36" s="7" t="str">
        <x:v>概念阶段效用分析依赖失效和市场模型，不能作为实际运行效能保证。
2013 期刊论文；用于长期决策参照。</x:v>
      </x:c>
      <x:c r="S36" s="7" t="str">
        <x:v>第二轮专题精读</x:v>
      </x:c>
      <x:c r="T36" s="7" t="str">
        <x:v>提取配置变量、需求和故障模型、库存／供给、服务节点与转移代价；说明配置如何改变可服务任务集。</x:v>
      </x:c>
      <x:c r="U36" s="16" t="str"/>
      <x:c r="V36" s="7" t="str">
        <x:v>https://www.sciencedirect.com/science/article/pii/S0094576513000532
https://doi.org/10.1016/j.actaastro.2013.02.005</x:v>
      </x:c>
      <x:c r="W36" s="13"/>
      <x:c r="X36" s="17" t="str"/>
      <x:c r="Y36" s="7" t="str">
        <x:v>研究／方法</x:v>
      </x:c>
    </x:row>
    <x:row r="37" ht="40" customHeight="1">
      <x:c r="A37" s="7" t="str">
        <x:v>O35</x:v>
      </x:c>
      <x:c r="B37" s="7" t="str">
        <x:v>3.1 长期能力配置与运维决策</x:v>
      </x:c>
      <x:c r="C37" s="7" t="str">
        <x:v>无额外章节</x:v>
      </x:c>
      <x:c r="D37" s="7" t="str">
        <x:v>Q05、Q07</x:v>
      </x:c>
      <x:c r="E37" s="7" t="str">
        <x:v>如何准确计算多级备份策略的稳态，并用于成本优化？</x:v>
      </x:c>
      <x:c r="F37" s="7" t="str">
        <x:v>Spare Strategy Analysis and Design for Mega Satellite Constellations Using Markov Chain</x:v>
      </x:c>
      <x:c r="G37" s="7" t="str">
        <x:v>采用马尔可夫链的巨型卫星星座备份策略分析与设计</x:v>
      </x:c>
      <x:c r="H37" s="14" t="str">
        <x:v>10.2514/1.A36599</x:v>
      </x:c>
      <x:c r="I37" s="12" t="n">
        <x:v>2026</x:v>
      </x:c>
      <x:c r="J37" s="7" t="str">
        <x:v>Journal of Spacecraft and Rockets</x:v>
      </x:c>
      <x:c r="K37" s="7" t="str">
        <x:v>轨道面和停泊库存分别建马尔可夫链，用不动点迭代求联合一致稳态，再以 GA 优化策略。</x:v>
      </x:c>
      <x:c r="L37" s="7" t="str">
        <x:v>随机失效、补给提前期、轨道力学和多级周期检查策略。</x:v>
      </x:c>
      <x:c r="M37" s="7" t="str">
        <x:v>编目摘要与作者预印本报告分析及策略优化案例。</x:v>
      </x:c>
      <x:c r="N37" s="7" t="str">
        <x:v>出版方提交的 Crossref 摘要与作者 arXiv 摘要。</x:v>
      </x:c>
      <x:c r="O37" s="7" t="str">
        <x:v>沿用前轮提取；待完整全文核查</x:v>
      </x:c>
      <x:c r="P37" s="7" t="str">
        <x:v>尚无经全文核查的精确页码、章节或图表位置。</x:v>
      </x:c>
      <x:c r="Q37" s="7" t="str">
        <x:v>与 O27、上一轮 O05／O06 比较分析模型和长期维护目标。</x:v>
      </x:c>
      <x:c r="R37" s="7" t="str">
        <x:v>长期稳态分析不等同任意动态任务序列的在线服务可行性。
2026-06-30 期刊在线；对应 arXiv:2509.09957 的题名不同，未重复计数。</x:v>
      </x:c>
      <x:c r="S37" s="7" t="str">
        <x:v>第二轮专题精读</x:v>
      </x:c>
      <x:c r="T37" s="7" t="str">
        <x:v>提取配置变量、需求和故障模型、库存／供给、服务节点与转移代价；说明配置如何改变可服务任务集。</x:v>
      </x:c>
      <x:c r="U37" s="16" t="str"/>
      <x:c r="V37" s="7" t="str">
        <x:v>https://arxiv.org/abs/2509.09957
https://doi.org/10.2514/1.A36599</x:v>
      </x:c>
      <x:c r="W37" s="13"/>
      <x:c r="X37" s="17" t="str"/>
      <x:c r="Y37" s="7" t="str">
        <x:v>研究／方法</x:v>
      </x:c>
    </x:row>
    <x:row r="38" ht="40" customHeight="1">
      <x:c r="A38" s="7" t="str">
        <x:v>O36</x:v>
      </x:c>
      <x:c r="B38" s="7" t="str">
        <x:v>3.1 长期能力配置与运维决策</x:v>
      </x:c>
      <x:c r="C38" s="7" t="str">
        <x:v>无额外章节</x:v>
      </x:c>
      <x:c r="D38" s="7" t="str">
        <x:v>Q05、Q07</x:v>
      </x:c>
      <x:c r="E38" s="7" t="str">
        <x:v>直接补给与经停泊轨道补给各应承担什么角色？</x:v>
      </x:c>
      <x:c r="F38" s="7" t="str">
        <x:v>Spare strategy for large-scale satellite constellations under dual resupply channels using Markov chain</x:v>
      </x:c>
      <x:c r="G38" s="7" t="str">
        <x:v>采用马尔可夫链的双补给通道大型卫星星座备份策略</x:v>
      </x:c>
      <x:c r="H38" s="14" t="str">
        <x:v>10.1016/j.actaastro.2026.06.020</x:v>
      </x:c>
      <x:c r="I38" s="12" t="n">
        <x:v>2026</x:v>
      </x:c>
      <x:c r="J38" s="7" t="str">
        <x:v>Acta Astronautica</x:v>
      </x:c>
      <x:c r="K38" s="7" t="str">
        <x:v>耦合马尔可夫链与 RAAN 周期稳态。用不动点迭代和保留延迟统计的近似分析，再以 GA 最小化成本。</x:v>
      </x:c>
      <x:c r="L38" s="7" t="str">
        <x:v>失效、补给时延、轨道漂移周期、库存与韧性要求。</x:v>
      </x:c>
      <x:c r="M38" s="7" t="str">
        <x:v>解析／近似模型与 Monte Carlo 仿真对照。</x:v>
      </x:c>
      <x:c r="N38" s="7" t="str">
        <x:v>出版社公开摘要与作者 arXiv 摘要。</x:v>
      </x:c>
      <x:c r="O38" s="7" t="str">
        <x:v>沿用前轮提取；待完整全文核查</x:v>
      </x:c>
      <x:c r="P38" s="7" t="str">
        <x:v>尚无经全文核查的精确页码、章节或图表位置。</x:v>
      </x:c>
      <x:c r="Q38" s="7" t="str">
        <x:v>延伸 O05 双供给模式，补齐维护韧性与随机时延的分析方法。</x:v>
      </x:c>
      <x:c r="R38" s="7" t="str">
        <x:v>与 O35 同研究团队且相关；不同 DOI 不表示案例证据相互独立。
已公开在线文本，注册卷期为 2026-11，尚晚于本轮截止日；精确正式上线日期待核。采用期刊 DOI，arXiv:2605.20875 不重复计数。</x:v>
      </x:c>
      <x:c r="S38" s="7" t="str">
        <x:v>第二轮专题精读</x:v>
      </x:c>
      <x:c r="T38" s="7" t="str">
        <x:v>提取配置变量、需求和故障模型、库存／供给、服务节点与转移代价；说明配置如何改变可服务任务集。</x:v>
      </x:c>
      <x:c r="U38" s="16" t="str"/>
      <x:c r="V38" s="7" t="str">
        <x:v>https://www.sciencedirect.com/science/article/pii/S0094576526004066
https://arxiv.org/abs/2605.20875
https://doi.org/10.1016/j.actaastro.2026.06.020</x:v>
      </x:c>
      <x:c r="W38" s="13"/>
      <x:c r="X38" s="17" t="str"/>
      <x:c r="Y38" s="7" t="str">
        <x:v>研究／方法</x:v>
      </x:c>
    </x:row>
    <x:row r="39" ht="40" customHeight="1">
      <x:c r="A39" s="7" t="str">
        <x:v>O52</x:v>
      </x:c>
      <x:c r="B39" s="7" t="str">
        <x:v>3.1 长期能力配置与运维决策</x:v>
      </x:c>
      <x:c r="C39" s="7" t="str">
        <x:v>3.3 安全执行与异常恢复</x:v>
      </x:c>
      <x:c r="D39" s="7" t="str">
        <x:v>Q04、Q18</x:v>
      </x:c>
      <x:c r="E39" s="7" t="str">
        <x:v>如何联合优化多颗卫星的重构轨迹并满足相互耦合的终端条件？</x:v>
      </x:c>
      <x:c r="F39" s="7" t="str">
        <x:v>Optimization of satellite constellation reconfiguration maneuvers</x:v>
      </x:c>
      <x:c r="G39" s="7" t="str">
        <x:v>卫星星座重构机动优化</x:v>
      </x:c>
      <x:c r="H39" s="14" t="str">
        <x:v>10.1016/j.actaastro.2014.02.016</x:v>
      </x:c>
      <x:c r="I39" s="12" t="n">
        <x:v>2014</x:v>
      </x:c>
      <x:c r="J39" s="7" t="str">
        <x:v>Acta Astronautica</x:v>
      </x:c>
      <x:c r="K39" s="7" t="str">
        <x:v>间接最优控制、一阶梯度与邻近极值轨迹方法，求解耦合机动问题。</x:v>
      </x:c>
      <x:c r="L39" s="7" t="str">
        <x:v>有限功率推进、动力学、轨道与耦合终端条件。</x:v>
      </x:c>
      <x:c r="M39" s="7" t="str">
        <x:v>数值轨迹优化示例。</x:v>
      </x:c>
      <x:c r="N39" s="7" t="str">
        <x:v>出版社摘要与数值示例说明</x:v>
      </x:c>
      <x:c r="O39" s="7" t="str">
        <x:v>沿用前轮提取；待完整全文核查</x:v>
      </x:c>
      <x:c r="P39" s="7" t="str">
        <x:v>尚无经全文核查的精确页码、章节或图表位置。</x:v>
      </x:c>
      <x:c r="Q39" s="7" t="str">
        <x:v>连接星座构型决策与机动代价，说明调度中的转移成本需要物理模型支持。</x:v>
      </x:c>
      <x:c r="R39" s="7" t="str">
        <x:v>共面圆轨道与特定推进模型；不能据此认定大规模三维星座重构可实时完成。
2014年正式期刊论文。</x:v>
      </x:c>
      <x:c r="S39" s="7" t="str">
        <x:v>第二轮专题精读</x:v>
      </x:c>
      <x:c r="T39" s="7" t="str">
        <x:v>提取配置变量、需求和故障模型、库存／供给、服务节点与转移代价；说明配置如何改变可服务任务集。</x:v>
      </x:c>
      <x:c r="U39" s="16" t="str"/>
      <x:c r="V39" s="7" t="str">
        <x:v>https://www.sciencedirect.com/science/article/pii/S0094576514000733
https://doi.org/10.1016/j.actaastro.2014.02.016</x:v>
      </x:c>
      <x:c r="W39" s="13"/>
      <x:c r="X39" s="17" t="str"/>
      <x:c r="Y39" s="7" t="str">
        <x:v>研究／方法</x:v>
      </x:c>
    </x:row>
    <x:row r="40" ht="40" customHeight="1">
      <x:c r="A40" s="7" t="str">
        <x:v>O53</x:v>
      </x:c>
      <x:c r="B40" s="7" t="str">
        <x:v>3.1 长期能力配置与运维决策</x:v>
      </x:c>
      <x:c r="C40" s="7" t="str">
        <x:v>3.3 安全执行与异常恢复</x:v>
      </x:c>
      <x:c r="D40" s="7" t="str">
        <x:v>Q04、Q18</x:v>
      </x:c>
      <x:c r="E40" s="7" t="str">
        <x:v>如何降低多目标星座重构中反复进行性能评估的计算成本？</x:v>
      </x:c>
      <x:c r="F40" s="7" t="str">
        <x:v>Satellite Constellation Reconfiguration Using Surrogate-Based Optimization</x:v>
      </x:c>
      <x:c r="G40" s="7" t="str">
        <x:v>基于代理优化的卫星星座重构</x:v>
      </x:c>
      <x:c r="H40" s="14" t="str">
        <x:v>10.1061/(ASCE)AS.1943-5525.0001438</x:v>
      </x:c>
      <x:c r="I40" s="12" t="n">
        <x:v>2022</x:v>
      </x:c>
      <x:c r="J40" s="7" t="str">
        <x:v>Journal of Aerospace Engineering</x:v>
      </x:c>
      <x:c r="K40" s="7" t="str">
        <x:v>代理模型辅助多目标优化。具体代理模型与采样策略待全文提取。</x:v>
      </x:c>
      <x:c r="L40" s="7" t="str">
        <x:v>星座性能与重构决策的耦合；完整决策变量和约束待提取。</x:v>
      </x:c>
      <x:c r="M40" s="7" t="str">
        <x:v>出版社摘要介绍重构优化研究；实验细节待全文提取。</x:v>
      </x:c>
      <x:c r="N40" s="7" t="str">
        <x:v>出版社摘要（信息有限）</x:v>
      </x:c>
      <x:c r="O40" s="7" t="str">
        <x:v>沿用前轮提取；待完整全文核查</x:v>
      </x:c>
      <x:c r="P40" s="7" t="str">
        <x:v>尚无经全文核查的精确页码、章节或图表位置。</x:v>
      </x:c>
      <x:c r="Q40" s="7" t="str">
        <x:v>补充昂贵物理评估与外层配置优化之间的计算方法。</x:v>
      </x:c>
      <x:c r="R40" s="7" t="str">
        <x:v>代理模型误差、优化收敛和故障工况覆盖待核；未确认代理模型为高斯过程。
2022年正式期刊论文。</x:v>
      </x:c>
      <x:c r="S40" s="7" t="str">
        <x:v>第二轮专题精读</x:v>
      </x:c>
      <x:c r="T40" s="7" t="str">
        <x:v>提取配置变量、需求和故障模型、库存／供给、服务节点与转移代价；说明配置如何改变可服务任务集。</x:v>
      </x:c>
      <x:c r="U40" s="16" t="str"/>
      <x:c r="V40" s="7" t="str">
        <x:v>https://ascelibrary.com/doi/abs/10.1061/%28ASCE%29AS.1943-5525.0001438
https://doi.org/10.1061/(ASCE)AS.1943-5525.0001438</x:v>
      </x:c>
      <x:c r="W40" s="13"/>
      <x:c r="X40" s="17" t="str"/>
      <x:c r="Y40" s="7" t="str">
        <x:v>研究／方法</x:v>
      </x:c>
    </x:row>
    <x:row r="41" ht="40" customHeight="1">
      <x:c r="A41" s="7" t="str">
        <x:v>O54</x:v>
      </x:c>
      <x:c r="B41" s="7" t="str">
        <x:v>3.1 长期能力配置与运维决策</x:v>
      </x:c>
      <x:c r="C41" s="7" t="str">
        <x:v>无额外章节</x:v>
      </x:c>
      <x:c r="D41" s="7" t="str">
        <x:v>Q04、Q07</x:v>
      </x:c>
      <x:c r="E41" s="7" t="str">
        <x:v>区域服务需求不确定时，如何安排多阶段部署并控制生命周期成本？</x:v>
      </x:c>
      <x:c r="F41" s="7" t="str">
        <x:v>Optimization of satellite constellation deployment strategy considering uncertain areas of interest</x:v>
      </x:c>
      <x:c r="G41" s="7" t="str">
        <x:v>考虑不确定关注区域的卫星星座部署策略优化</x:v>
      </x:c>
      <x:c r="H41" s="14" t="str">
        <x:v>10.1016/j.actaastro.2018.03.054</x:v>
      </x:c>
      <x:c r="I41" s="12" t="n">
        <x:v>2018</x:v>
      </x:c>
      <x:c r="J41" s="7" t="str">
        <x:v>Acta Astronautica</x:v>
      </x:c>
      <x:c r="K41" s="7" t="str">
        <x:v>基于需求情景的部署策略优化，以期望生命周期成本为评价。</x:v>
      </x:c>
      <x:c r="L41" s="7" t="str">
        <x:v>区域需求变化、部署阶段与覆盖性能；采用不可重构的部署方案。</x:v>
      </x:c>
      <x:c r="M41" s="7" t="str">
        <x:v>情景化部署设计与数值分析。</x:v>
      </x:c>
      <x:c r="N41" s="7" t="str">
        <x:v>出版社摘要与模型概述</x:v>
      </x:c>
      <x:c r="O41" s="7" t="str">
        <x:v>沿用前轮提取；待完整全文核查</x:v>
      </x:c>
      <x:c r="P41" s="7" t="str">
        <x:v>尚无经全文核查的精确页码、章节或图表位置。</x:v>
      </x:c>
      <x:c r="Q41" s="7" t="str">
        <x:v>补齐长期能力配置、需求增长与生命周期经济性。</x:v>
      </x:c>
      <x:c r="R41" s="7" t="str">
        <x:v>分阶段新增卫星与在轨重构不同；需求分布与成本假设限制可迁移性。
2018年正式期刊论文。</x:v>
      </x:c>
      <x:c r="S41" s="7" t="str">
        <x:v>第二轮专题精读</x:v>
      </x:c>
      <x:c r="T41" s="7" t="str">
        <x:v>提取配置变量、需求和故障模型、库存／供给、服务节点与转移代价；说明配置如何改变可服务任务集。</x:v>
      </x:c>
      <x:c r="U41" s="16" t="str"/>
      <x:c r="V41" s="7" t="str">
        <x:v>https://www.sciencedirect.com/science/article/pii/S0094576517313486
https://doi.org/10.1016/j.actaastro.2018.03.054</x:v>
      </x:c>
      <x:c r="W41" s="13"/>
      <x:c r="X41" s="17" t="str"/>
      <x:c r="Y41" s="7" t="str">
        <x:v>研究／方法</x:v>
      </x:c>
    </x:row>
    <x:row r="42" ht="40" customHeight="1">
      <x:c r="A42" s="7" t="str">
        <x:v>O55</x:v>
      </x:c>
      <x:c r="B42" s="7" t="str">
        <x:v>3.1 长期能力配置与运维决策</x:v>
      </x:c>
      <x:c r="C42" s="7" t="str">
        <x:v>4 综合评价与研究展望</x:v>
      </x:c>
      <x:c r="D42" s="7" t="str">
        <x:v>Q04、Q22</x:v>
      </x:c>
      <x:c r="E42" s="7" t="str">
        <x:v>如何权衡区域覆盖收益与卫星重构的转移代价？</x:v>
      </x:c>
      <x:c r="F42" s="7" t="str">
        <x:v>Regional Constellation Reconfiguration Problem: Integer Linear Programming Formulation and Lagrangian Heuristic Method</x:v>
      </x:c>
      <x:c r="G42" s="7" t="str">
        <x:v>区域星座重构问题：整数线性规划模型与拉格朗日启发式方法</x:v>
      </x:c>
      <x:c r="H42" s="14" t="str">
        <x:v>10.2514/1.A35685</x:v>
      </x:c>
      <x:c r="I42" s="12" t="n">
        <x:v>2023</x:v>
      </x:c>
      <x:c r="J42" s="7" t="str">
        <x:v>Journal of Spacecraft and Rockets</x:v>
      </x:c>
      <x:c r="K42" s="7" t="str">
        <x:v>整数线性规划（ILP）与拉格朗日启发式。</x:v>
      </x:c>
      <x:c r="L42" s="7" t="str">
        <x:v>区域覆盖、重构选项及资源／转移代价；完整轨道离散化待提取。</x:v>
      </x:c>
      <x:c r="M42" s="7" t="str">
        <x:v>作者公开稿的优化模型与数值实验。</x:v>
      </x:c>
      <x:c r="N42" s="7" t="str">
        <x:v>作者公开稿摘要</x:v>
      </x:c>
      <x:c r="O42" s="7" t="str">
        <x:v>沿用前轮提取；待完整全文核查</x:v>
      </x:c>
      <x:c r="P42" s="7" t="str">
        <x:v>尚无经全文核查的精确页码、章节或图表位置。</x:v>
      </x:c>
      <x:c r="Q42" s="7" t="str">
        <x:v>将构型配置归入运筹学模型，作为学习方法的比较基线。</x:v>
      </x:c>
      <x:c r="R42" s="7" t="str">
        <x:v>离散重构成本模型不等同于逐条转移轨迹已经验证；最优性界的适用模型待核。
预印本2022，正式期刊2023；合并为一个条目。</x:v>
      </x:c>
      <x:c r="S42" s="7" t="str">
        <x:v>第二轮专题精读</x:v>
      </x:c>
      <x:c r="T42" s="7" t="str">
        <x:v>提取配置变量、需求和故障模型、库存／供给、服务节点与转移代价；说明配置如何改变可服务任务集。</x:v>
      </x:c>
      <x:c r="U42" s="16" t="str"/>
      <x:c r="V42" s="7" t="str">
        <x:v>https://arxiv.org/abs/2206.02910
https://arc.aiaa.org/doi/10.2514/1.A35685
https://doi.org/10.2514/1.A35685</x:v>
      </x:c>
      <x:c r="W42" s="13"/>
      <x:c r="X42" s="17" t="str"/>
      <x:c r="Y42" s="7" t="str">
        <x:v>研究／方法</x:v>
      </x:c>
    </x:row>
    <x:row r="43" ht="40" customHeight="1">
      <x:c r="A43" s="7" t="str">
        <x:v>O56</x:v>
      </x:c>
      <x:c r="B43" s="7" t="str">
        <x:v>3.1 长期能力配置与运维决策</x:v>
      </x:c>
      <x:c r="C43" s="7" t="str">
        <x:v>4 综合评价与研究展望</x:v>
      </x:c>
      <x:c r="D43" s="7" t="str">
        <x:v>Q04、Q22</x:v>
      </x:c>
      <x:c r="E43" s="7" t="str">
        <x:v>如何协调多个阶段的重构决策，而不只优化当前阶段？</x:v>
      </x:c>
      <x:c r="F43" s="7" t="str">
        <x:v>Deterministic Multistage Constellation Reconfiguration Using Integer Programming and Sequential Decision-Making Methods</x:v>
      </x:c>
      <x:c r="G43" s="7" t="str">
        <x:v>采用整数规划与序贯决策方法的确定性多阶段星座重构</x:v>
      </x:c>
      <x:c r="H43" s="14" t="str">
        <x:v>10.2514/1.A35990</x:v>
      </x:c>
      <x:c r="I43" s="12" t="n">
        <x:v>2025</x:v>
      </x:c>
      <x:c r="J43" s="7" t="str">
        <x:v>Journal of Spacecraft and Rockets</x:v>
      </x:c>
      <x:c r="K43" s="7" t="str">
        <x:v>多阶段ILP、短视决策与滚动时域决策，用不同计算成本近似长期方案。</x:v>
      </x:c>
      <x:c r="L43" s="7" t="str">
        <x:v>事先已知的目标需求、阶段之间的重构成本与覆盖要求。</x:v>
      </x:c>
      <x:c r="M43" s="7" t="str">
        <x:v>确定性优化模型与Harvey案例分析。</x:v>
      </x:c>
      <x:c r="N43" s="7" t="str">
        <x:v>作者公开稿与机构记录</x:v>
      </x:c>
      <x:c r="O43" s="7" t="str">
        <x:v>沿用前轮提取；待完整全文核查</x:v>
      </x:c>
      <x:c r="P43" s="7" t="str">
        <x:v>尚无经全文核查的精确页码、章节或图表位置。</x:v>
      </x:c>
      <x:c r="Q43" s="7" t="str">
        <x:v>比较长期规划、短视决策与滚动优化，建立配置层和调度层之间的层级。</x:v>
      </x:c>
      <x:c r="R43" s="7" t="str">
        <x:v>目标需求预先已知；不能直接解释为对随机任务到达的鲁棒策略。
预印本2024，正式卷期2025；不重复计数。</x:v>
      </x:c>
      <x:c r="S43" s="7" t="str">
        <x:v>第二轮专题精读</x:v>
      </x:c>
      <x:c r="T43" s="7" t="str">
        <x:v>提取配置变量、需求和故障模型、库存／供给、服务节点与转移代价；说明配置如何改变可服务任务集。</x:v>
      </x:c>
      <x:c r="U43" s="16" t="str"/>
      <x:c r="V43" s="7" t="str">
        <x:v>https://arxiv.org/abs/2401.11567
https://repository.gatech.edu/entities/publication/c3b83b47-5dc4-48ec-a7b7-c66db60ca054
https://doi.org/10.2514/1.A35990</x:v>
      </x:c>
      <x:c r="W43" s="13"/>
      <x:c r="X43" s="17" t="str"/>
      <x:c r="Y43" s="7" t="str">
        <x:v>研究／方法</x:v>
      </x:c>
    </x:row>
    <x:row r="44" ht="40" customHeight="1">
      <x:c r="A44" s="7" t="str">
        <x:v>O57</x:v>
      </x:c>
      <x:c r="B44" s="7" t="str">
        <x:v>3.1 长期能力配置与运维决策</x:v>
      </x:c>
      <x:c r="C44" s="7" t="str">
        <x:v>无额外章节</x:v>
      </x:c>
      <x:c r="D44" s="7" t="str">
        <x:v>Q04</x:v>
      </x:c>
      <x:c r="E44" s="7" t="str">
        <x:v>如何设计卫星分布，以满足随空间和时间变化的区域覆盖需求？</x:v>
      </x:c>
      <x:c r="F44" s="7" t="str">
        <x:v>Satellite Constellation Pattern Optimization for Complex Regional Coverage</x:v>
      </x:c>
      <x:c r="G44" s="7" t="str">
        <x:v>面向复杂区域覆盖的卫星星座模式优化</x:v>
      </x:c>
      <x:c r="H44" s="14" t="str">
        <x:v>10.2514/1.A34657</x:v>
      </x:c>
      <x:c r="I44" s="12" t="n">
        <x:v>2020</x:v>
      </x:c>
      <x:c r="J44" s="7" t="str">
        <x:v>Journal of Spacecraft and Rockets</x:v>
      </x:c>
      <x:c r="K44" s="7" t="str">
        <x:v>APC模式模型，以循环卷积关联访问模式和星座模式；二元整数线性规划。</x:v>
      </x:c>
      <x:c r="L44" s="7" t="str">
        <x:v>地面轨迹与访问窗口、时空覆盖需求、卫星数量。</x:v>
      </x:c>
      <x:c r="M44" s="7" t="str">
        <x:v>优化模型及5个构型设计示例。</x:v>
      </x:c>
      <x:c r="N44" s="7" t="str">
        <x:v>作者公开稿摘要与机构全文入口</x:v>
      </x:c>
      <x:c r="O44" s="7" t="str">
        <x:v>沿用前轮提取；待完整全文核查</x:v>
      </x:c>
      <x:c r="P44" s="7" t="str">
        <x:v>尚无经全文核查的精确页码、章节或图表位置。</x:v>
      </x:c>
      <x:c r="Q44" s="7" t="str">
        <x:v>为覆盖能力配置提供可解释模型，区别于仅以算法名称组织综述。</x:v>
      </x:c>
      <x:c r="R44" s="7" t="str">
        <x:v>覆盖几何证明不代表交会、维修或碰撞规避任务可执行。
预印本2019，正式卷期2020。</x:v>
      </x:c>
      <x:c r="S44" s="7" t="str">
        <x:v>第二轮专题精读</x:v>
      </x:c>
      <x:c r="T44" s="7" t="str">
        <x:v>提取配置变量、需求和故障模型、库存／供给、服务节点与转移代价；说明配置如何改变可服务任务集。</x:v>
      </x:c>
      <x:c r="U44" s="16" t="str"/>
      <x:c r="V44" s="7" t="str">
        <x:v>https://arxiv.org/abs/1910.00672
https://repository.gatech.edu/bitstreams/4cc167b9-0ebc-462d-96bf-104e5852da9e/download
https://doi.org/10.2514/1.A34657</x:v>
      </x:c>
      <x:c r="W44" s="13"/>
      <x:c r="X44" s="17" t="str"/>
      <x:c r="Y44" s="7" t="str">
        <x:v>研究／方法</x:v>
      </x:c>
    </x:row>
    <x:row r="45" ht="40" customHeight="1">
      <x:c r="A45" s="7" t="str">
        <x:v>O58</x:v>
      </x:c>
      <x:c r="B45" s="7" t="str">
        <x:v>3.1 长期能力配置与运维决策</x:v>
      </x:c>
      <x:c r="C45" s="7" t="str">
        <x:v>无额外章节</x:v>
      </x:c>
      <x:c r="D45" s="7" t="str">
        <x:v>Q04</x:v>
      </x:c>
      <x:c r="E45" s="7" t="str">
        <x:v>如何让目标星座模式与实际入轨和部署过程相协调？</x:v>
      </x:c>
      <x:c r="F45" s="7" t="str">
        <x:v>Two-Stage Framework for Deployment-Aware Optimization of Satellite Constellation Pattern Design</x:v>
      </x:c>
      <x:c r="G45" s="7" t="str">
        <x:v>考虑部署过程的卫星星座模式设计两阶段优化框架</x:v>
      </x:c>
      <x:c r="H45" s="14" t="str">
        <x:v>10.1007/s42405-026-01298-1</x:v>
      </x:c>
      <x:c r="I45" s="12" t="n">
        <x:v>2026</x:v>
      </x:c>
      <x:c r="J45" s="7" t="str">
        <x:v>International Journal of Aeronautical and Space Sciences</x:v>
      </x:c>
      <x:c r="K45" s="7" t="str">
        <x:v>两阶段部署感知优化，协调注入／停泊轨道选取与最终星座模式。</x:v>
      </x:c>
      <x:c r="L45" s="7" t="str">
        <x:v>J2引起的升交点赤经漂移、停泊时长、部署完成时间窗口。</x:v>
      </x:c>
      <x:c r="M45" s="7" t="str">
        <x:v>出版社公开文章的框架与仿真。</x:v>
      </x:c>
      <x:c r="N45" s="7" t="str">
        <x:v>出版社公开文章的模型概述</x:v>
      </x:c>
      <x:c r="O45" s="7" t="str">
        <x:v>沿用前轮提取；待完整全文核查</x:v>
      </x:c>
      <x:c r="P45" s="7" t="str">
        <x:v>尚无经全文核查的精确页码、章节或图表位置。</x:v>
      </x:c>
      <x:c r="Q45" s="7" t="str">
        <x:v>新增部署可实施性维度，连接配置优化与真实工程时间成本。</x:v>
      </x:c>
      <x:c r="R45" s="7" t="str">
        <x:v>漂移部署依赖轨道与时长假设；不能套用于任意推力约束下的快速重构。
2026-10-07在线发表，早于本轮截止日。</x:v>
      </x:c>
      <x:c r="S45" s="7" t="str">
        <x:v>第二轮专题精读</x:v>
      </x:c>
      <x:c r="T45" s="7" t="str">
        <x:v>提取配置变量、需求和故障模型、库存／供给、服务节点与转移代价；说明配置如何改变可服务任务集。</x:v>
      </x:c>
      <x:c r="U45" s="16" t="str"/>
      <x:c r="V45" s="7" t="str">
        <x:v>https://link.springer.com/article/10.1007/s42405-026-01298-1
https://doi.org/10.1007/s42405-026-01298-1</x:v>
      </x:c>
      <x:c r="W45" s="13"/>
      <x:c r="X45" s="17" t="str"/>
      <x:c r="Y45" s="7" t="str">
        <x:v>研究／方法</x:v>
      </x:c>
    </x:row>
    <x:row r="46" ht="40" customHeight="1">
      <x:c r="A46" s="7" t="str">
        <x:v>R17</x:v>
      </x:c>
      <x:c r="B46" s="7" t="str">
        <x:v>3.1 长期能力配置与运维决策</x:v>
      </x:c>
      <x:c r="C46" s="7" t="str">
        <x:v>3.2 动态任务与多资源联合调度
3.3 安全执行与异常恢复
1 引言</x:v>
      </x:c>
      <x:c r="D46" s="7" t="str">
        <x:v>Q06、Q08、Q18、Q01</x:v>
      </x:c>
      <x:c r="E46" s="7" t="str">
        <x:v>在轨服务工程任务、体系架构、关键技术和发展挑战。</x:v>
      </x:c>
      <x:c r="F46" s="7" t="str">
        <x:v>On-orbit service (OOS) of spacecraft: A review of engineering developments</x:v>
      </x:c>
      <x:c r="G46" s="7" t="str">
        <x:v>航天器在轨服务：工程发展综述</x:v>
      </x:c>
      <x:c r="H46" s="14" t="str">
        <x:v>10.1016/j.paerosci.2019.01.004</x:v>
      </x:c>
      <x:c r="I46" s="12" t="n">
        <x:v>2019</x:v>
      </x:c>
      <x:c r="J46" s="7" t="str">
        <x:v>Progress in Aerospace Sciences</x:v>
      </x:c>
      <x:c r="K46" s="7" t="str">
        <x:v>在轨服务工程任务、体系架构、关键技术和发展挑战。</x:v>
      </x:c>
      <x:c r="L46" s="7" t="str">
        <x:v>该综述的范围、模型假设和约束分类待逐项全文提取。</x:v>
      </x:c>
      <x:c r="M46" s="7" t="str">
        <x:v>综述归纳材料；具体技术结论需回溯原始研究。</x:v>
      </x:c>
      <x:c r="N46" s="7" t="str">
        <x:v>出版社公开摘要、引言与章节片段</x:v>
      </x:c>
      <x:c r="O46" s="7" t="str">
        <x:v>沿用前轮提取；待完整全文核查</x:v>
      </x:c>
      <x:c r="P46" s="7" t="str">
        <x:v>尚无经全文核查的精确页码、章节或图表位置。</x:v>
      </x:c>
      <x:c r="Q46" s="7" t="str">
        <x:v>比较空间设施选址和服务能力配置的建模选择。 作为既有综述或分类参照。</x:v>
      </x:c>
      <x:c r="R46" s="7" t="str">
        <x:v>用于技术成熟度和服务任务背景；不能由技术历史直接推得大型星座调度成熟。
采用正式2019卷期；不与其他OSAM机器人综述混同。</x:v>
      </x:c>
      <x:c r="S46" s="7" t="str">
        <x:v>背景或方法参照</x:v>
      </x:c>
      <x:c r="T46" s="7" t="str">
        <x:v>核对综述的实际对象、文献时段、任务类别、分类框架、安全接口与证据维度；确定我们可以新增的比较。</x:v>
      </x:c>
      <x:c r="U46" s="16" t="str"/>
      <x:c r="V46" s="7" t="str">
        <x:v>https://www.sciencedirect.com/science/article/pii/S0376042118301210
https://doi.org/10.1016/j.paerosci.2019.01.004</x:v>
      </x:c>
      <x:c r="W46" s="13"/>
      <x:c r="X46" s="17" t="str"/>
      <x:c r="Y46" s="7" t="str">
        <x:v>综述</x:v>
      </x:c>
    </x:row>
    <x:row r="47" ht="40" customHeight="1">
      <x:c r="A47" s="7" t="str">
        <x:v>R18</x:v>
      </x:c>
      <x:c r="B47" s="7" t="str">
        <x:v>3.1 长期能力配置与运维决策</x:v>
      </x:c>
      <x:c r="C47" s="7" t="str">
        <x:v>3.2 动态任务与多资源联合调度
1 引言</x:v>
      </x:c>
      <x:c r="D47" s="7" t="str">
        <x:v>Q04、Q09、Q01</x:v>
      </x:c>
      <x:c r="E47" s="7" t="str">
        <x:v>按部署／重构和任务／测控调度两层分类进化计算应用。</x:v>
      </x:c>
      <x:c r="F47" s="7" t="str">
        <x:v>Evolutionary Computation in Satellite System Optimization for Deployment and Scheduling: A Survey</x:v>
      </x:c>
      <x:c r="G47" s="7" t="str">
        <x:v>卫星系统部署与调度优化中的进化计算综述</x:v>
      </x:c>
      <x:c r="H47" s="14" t="str">
        <x:v>10.1109/TSMC.2026.3729751</x:v>
      </x:c>
      <x:c r="I47" s="12" t="n">
        <x:v>2026</x:v>
      </x:c>
      <x:c r="J47" s="7" t="str">
        <x:v>IEEE Transactions on Systems, Man, and Cybernetics: Systems</x:v>
      </x:c>
      <x:c r="K47" s="7" t="str">
        <x:v>按部署／重构和任务／测控调度两层分类进化计算应用。</x:v>
      </x:c>
      <x:c r="L47" s="7" t="str">
        <x:v>该综述的范围、模型假设和约束分类待逐项全文提取。</x:v>
      </x:c>
      <x:c r="M47" s="7" t="str">
        <x:v>综述归纳材料；具体技术结论需回溯原始研究。</x:v>
      </x:c>
      <x:c r="N47" s="7" t="str">
        <x:v>作者机构摘要与出版元数据</x:v>
      </x:c>
      <x:c r="O47" s="7" t="str">
        <x:v>沿用前轮提取；待完整全文核查</x:v>
      </x:c>
      <x:c r="P47" s="7" t="str">
        <x:v>尚无经全文核查的精确页码、章节或图表位置。</x:v>
      </x:c>
      <x:c r="Q47" s="7" t="str">
        <x:v>比较覆盖目标与部署、重构可执行条件的关系。 作为既有综述或分类参照。</x:v>
      </x:c>
      <x:c r="R47" s="7" t="str">
        <x:v>2026最新相邻综述；可对照算法章节，但我们的中心应保持运维决策问题。
作者机构记录正式在线2026-09-30。</x:v>
      </x:c>
      <x:c r="S47" s="7" t="str">
        <x:v>背景或方法参照</x:v>
      </x:c>
      <x:c r="T47" s="7" t="str">
        <x:v>核对综述的实际对象、文献时段、任务类别、分类框架、安全接口与证据维度；确定我们可以新增的比较。</x:v>
      </x:c>
      <x:c r="U47" s="16" t="str"/>
      <x:c r="V47" s="7" t="str">
        <x:v>https://scholars.ln.edu.hk/en/publications/evolutionary-computation-in-satellite-system-optimization-for-dep/
https://doi.org/10.1109/TSMC.2026.3729751</x:v>
      </x:c>
      <x:c r="W47" s="13"/>
      <x:c r="X47" s="17" t="str"/>
      <x:c r="Y47" s="7" t="str">
        <x:v>综述</x:v>
      </x:c>
    </x:row>
    <x:row r="48" ht="40" customHeight="1">
      <x:c r="A48" s="7" t="str">
        <x:v>O23</x:v>
      </x:c>
      <x:c r="B48" s="7" t="str">
        <x:v>3.2 动态任务与多资源联合调度</x:v>
      </x:c>
      <x:c r="C48" s="7" t="str">
        <x:v>4 综合评价与研究展望</x:v>
      </x:c>
      <x:c r="D48" s="7" t="str">
        <x:v>Q09、Q15、Q22</x:v>
      </x:c>
      <x:c r="E48" s="7" t="str">
        <x:v>能否将单星训练策略部署到多星，并兼顾资源和通信限制？</x:v>
      </x:c>
      <x:c r="F48" s="7" t="str">
        <x:v>Single-Agent Reinforcement Learning for Scalable Earth-Observing Satellite Constellation Operations</x:v>
      </x:c>
      <x:c r="G48" s="7" t="str">
        <x:v>面向可扩展对地观测卫星星座运行的单智能体强化学习</x:v>
      </x:c>
      <x:c r="H48" s="14" t="str">
        <x:v>10.2514/1.A35736</x:v>
      </x:c>
      <x:c r="I48" s="12" t="n">
        <x:v>2024</x:v>
      </x:c>
      <x:c r="J48" s="7" t="str">
        <x:v>Journal of Spacecraft and Rockets</x:v>
      </x:c>
      <x:c r="K48" s="7" t="str">
        <x:v>单智能体策略跨星复用。按可见机会分配目标，并比较集中式 MIP 分配与分散式分配。</x:v>
      </x:c>
      <x:c r="L48" s="7" t="str">
        <x:v>电量、存储、反作用轮转速。比较自由通信、视线通信和无通信。</x:v>
      </x:c>
      <x:c r="M48" s="7" t="str">
        <x:v>数值仿真与 GA／集中式 MIP 比较，比较不同通信条件。</x:v>
      </x:c>
      <x:c r="N48" s="7" t="str">
        <x:v>作者公开期刊 PDF，摘要、系统模型、通信实验与目标分配实验（第 VI 节，图 9—18）。</x:v>
      </x:c>
      <x:c r="O48" s="7" t="str">
        <x:v>沿用前轮提取；待完整全文核查</x:v>
      </x:c>
      <x:c r="P48" s="7" t="str">
        <x:v>尚无经全文核查的精确页码、章节或图表位置。</x:v>
      </x:c>
      <x:c r="Q48" s="7" t="str">
        <x:v>研究架构、资源管理与可扩展性证据的重要参照。</x:v>
      </x:c>
      <x:c r="R48" s="7" t="str">
        <x:v>实验已提取规模为数十颗卫星；题名中的 scalable 不等于已验证千星。
期刊卷期 2024。单策略分散部署不应标成多智能体联合训练。</x:v>
      </x:c>
      <x:c r="S48" s="7" t="str">
        <x:v>首轮锚点精读</x:v>
      </x:c>
      <x:c r="T48" s="7" t="str">
        <x:v>单智能体策略怎样用于多星？通信和任务协调依赖哪些条件，规模与训练成本是什么？</x:v>
      </x:c>
      <x:c r="U48" s="16" t="str"/>
      <x:c r="V48" s="7" t="str">
        <x:v>https://hanspeterschaub.info/PapersPrivate/Herrmann2024.pdf
https://doi.org/10.2514/1.A35736</x:v>
      </x:c>
      <x:c r="W48" s="13"/>
      <x:c r="X48" s="17" t="str"/>
      <x:c r="Y48" s="7" t="str">
        <x:v>研究／方法</x:v>
      </x:c>
    </x:row>
    <x:row r="49" ht="40" customHeight="1">
      <x:c r="A49" s="7" t="str">
        <x:v>O29</x:v>
      </x:c>
      <x:c r="B49" s="7" t="str">
        <x:v>3.2 动态任务与多资源联合调度</x:v>
      </x:c>
      <x:c r="C49" s="7" t="str">
        <x:v>3.1 长期能力配置与运维决策
3.3 安全执行与异常恢复
3.4 跨层耦合与闭环协同</x:v>
      </x:c>
      <x:c r="D49" s="7" t="str">
        <x:v>Q08、Q06、Q18、Q21</x:v>
      </x:c>
      <x:c r="E49" s="7" t="str">
        <x:v>移动目标和移动补给站条件下，怎样安排多个服务艇完成任务？</x:v>
      </x:c>
      <x:c r="F49" s="7" t="str">
        <x:v>Multi-orbit routing and scheduling of refuellable on-orbit servicing space robots</x:v>
      </x:c>
      <x:c r="G49" s="7" t="str">
        <x:v>可加注在轨服务机器人跨轨道路径规划与调度</x:v>
      </x:c>
      <x:c r="H49" s="14" t="str">
        <x:v>10.1016/j.cie.2022.108852</x:v>
      </x:c>
      <x:c r="I49" s="12" t="n">
        <x:v>2023</x:v>
      </x:c>
      <x:c r="J49" s="7" t="str">
        <x:v>Computers &amp; Industrial Engineering</x:v>
      </x:c>
      <x:c r="K49" s="7" t="str">
        <x:v>构造轨道转移网络和时变目标／补给站参数，以 MILP 最大化加权任务完成量。</x:v>
      </x:c>
      <x:c r="L49" s="7" t="str">
        <x:v>服务艇运动、目标和补给站移动、加注与规划时域。完整转移代价假设待全文核对。</x:v>
      </x:c>
      <x:c r="M49" s="7" t="str">
        <x:v>基于在轨卫星轨道参数的计算实验。</x:v>
      </x:c>
      <x:c r="N49" s="7" t="str">
        <x:v>出版社摘要、Highlights 与公开引言。</x:v>
      </x:c>
      <x:c r="O49" s="7" t="str">
        <x:v>沿用前轮提取；待完整全文核查</x:v>
      </x:c>
      <x:c r="P49" s="7" t="str">
        <x:v>尚无经全文核查的精确页码、章节或图表位置。</x:v>
      </x:c>
      <x:c r="Q49" s="7" t="str">
        <x:v>服务调度主线的重要比较项，连接服务站、能力和路径。</x:v>
      </x:c>
      <x:c r="R49" s="7" t="str">
        <x:v>网络与 MILP 可行性依赖输入转移模型；摘要不足以确认逐段高保真轨迹验证。
正式卷期 2023-02；DOI 含 2022。</x:v>
      </x:c>
      <x:c r="S49" s="7" t="str">
        <x:v>首轮锚点精读</x:v>
      </x:c>
      <x:c r="T49" s="7" t="str">
        <x:v>加注设施、资源补充、跨轨转移和任务排序怎样共同建模并验证连续性？</x:v>
      </x:c>
      <x:c r="U49" s="16" t="str"/>
      <x:c r="V49" s="7" t="str">
        <x:v>https://www.sciencedirect.com/science/article/pii/S0360835222008403
https://doi.org/10.1016/j.cie.2022.108852</x:v>
      </x:c>
      <x:c r="W49" s="13"/>
      <x:c r="X49" s="17" t="str"/>
      <x:c r="Y49" s="7" t="str">
        <x:v>研究／方法</x:v>
      </x:c>
    </x:row>
    <x:row r="50" ht="40" customHeight="1">
      <x:c r="A50" s="7" t="str">
        <x:v>O31</x:v>
      </x:c>
      <x:c r="B50" s="7" t="str">
        <x:v>3.2 动态任务与多资源联合调度</x:v>
      </x:c>
      <x:c r="C50" s="7" t="str">
        <x:v>3.1 长期能力配置与运维决策</x:v>
      </x:c>
      <x:c r="D50" s="7" t="str">
        <x:v>Q08、Q07</x:v>
      </x:c>
      <x:c r="E50" s="7" t="str">
        <x:v>加注持续时间变化时，如何安排仍满足任务要求的序列？</x:v>
      </x:c>
      <x:c r="F50" s="7" t="str">
        <x:v>On-orbit refueling robust mission scheduling with uncertain duration for geosynchronous orbit spacecraft</x:v>
      </x:c>
      <x:c r="G50" s="7" t="str">
        <x:v>GEO 航天器加注时长不确定条件下的在轨加注鲁棒任务调度</x:v>
      </x:c>
      <x:c r="H50" s="14" t="str">
        <x:v>10.1016/j.cja.2025.103774</x:v>
      </x:c>
      <x:c r="I50" s="12" t="n">
        <x:v>2026</x:v>
      </x:c>
      <x:c r="J50" s="7" t="str">
        <x:v>Chinese Journal of Aeronautics</x:v>
      </x:c>
      <x:c r="K50" s="7" t="str">
        <x:v>预算不确定集建模时长偏差。混合 Harris Hawks 优化结合混沌初始化和 GA 交叉。</x:v>
      </x:c>
      <x:c r="L50" s="7" t="str">
        <x:v>目标为圆轨道且同优先级。仅时长不确定，瞬时速度增量，忽略目标姿态，站内燃料充足。</x:v>
      </x:c>
      <x:c r="M50" s="7" t="str">
        <x:v>第 4 节比较算法、鲁棒与常规方案，以及初始化策略。</x:v>
      </x:c>
      <x:c r="N50" s="7" t="str">
        <x:v>出版社正文第 2.1、4 节与作者机构保存的正式 PDF 入口。</x:v>
      </x:c>
      <x:c r="O50" s="7" t="str">
        <x:v>沿用前轮提取；待完整全文核查</x:v>
      </x:c>
      <x:c r="P50" s="7" t="str">
        <x:v>尚无经全文核查的精确页码、章节或图表位置。</x:v>
      </x:c>
      <x:c r="Q50" s="7" t="str">
        <x:v>动态服务调度与执行时长不确定性的重要比较项。</x:v>
      </x:c>
      <x:c r="R50" s="7" t="str">
        <x:v>到达预定位置被视为完成交会；未验证接近、对接与加注操作的完整闭环。
在线 2025-08-19，正式卷期 2026-01。</x:v>
      </x:c>
      <x:c r="S50" s="7" t="str">
        <x:v>首轮锚点精读</x:v>
      </x:c>
      <x:c r="T50" s="7" t="str">
        <x:v>不确定服务时长属于哪种模型？风险／鲁棒参数怎样影响连续任务的可行性？</x:v>
      </x:c>
      <x:c r="U50" s="16" t="str"/>
      <x:c r="V50" s="7" t="str">
        <x:v>https://www.sciencedirect.com/science/article/pii/S1000936125003802
https://iris.polito.it/handle/11583/3002481
https://doi.org/10.1016/j.cja.2025.103774</x:v>
      </x:c>
      <x:c r="W50" s="13"/>
      <x:c r="X50" s="17" t="str"/>
      <x:c r="Y50" s="7" t="str">
        <x:v>研究／方法</x:v>
      </x:c>
    </x:row>
    <x:row r="51" ht="40" customHeight="1">
      <x:c r="A51" s="7" t="str">
        <x:v>O32</x:v>
      </x:c>
      <x:c r="B51" s="7" t="str">
        <x:v>3.2 动态任务与多资源联合调度</x:v>
      </x:c>
      <x:c r="C51" s="7" t="str">
        <x:v>无额外章节</x:v>
      </x:c>
      <x:c r="D51" s="7" t="str">
        <x:v>Q08、Q15</x:v>
      </x:c>
      <x:c r="E51" s="7" t="str">
        <x:v>如何快速求解与轨道有关的多对多服务路径，并跨目标数量泛化？</x:v>
      </x:c>
      <x:c r="F51" s="7" t="str">
        <x:v>A Multi-to-Multi On-orbit Servicing Optimization Scheduling Method Based on Deep Reinforcement Learning</x:v>
      </x:c>
      <x:c r="G51" s="7" t="str">
        <x:v>一种基于深度强化学习的多对多在轨服务优化调度方法</x:v>
      </x:c>
      <x:c r="H51" s="14" t="str">
        <x:v>10.3873/j.issn.1000-1328.2025.01.017</x:v>
      </x:c>
      <x:c r="I51" s="12" t="n">
        <x:v>2025</x:v>
      </x:c>
      <x:c r="J51" s="7" t="str">
        <x:v>宇航学报 46(1):204—214</x:v>
      </x:c>
      <x:c r="K51" s="7" t="str">
        <x:v>轨道相关车辆路径模型。注意力编码器解码器逐步构造解，REINFORCE 配贪婪滚动基线训练。</x:v>
      </x:c>
      <x:c r="L51" s="7" t="str">
        <x:v>站点往返、每目标一次访问、服务容量与解码掩码；转移使用简化模型。</x:v>
      </x:c>
      <x:c r="M51" s="7" t="str">
        <x:v>正式 PDF 第 3 节比较 GA、FA、PSO 及改进算法，另有训练基线与跨规模测试。</x:v>
      </x:c>
      <x:c r="N51" s="7" t="str">
        <x:v>期刊正式 PDF，第 1.1—1.3、2、3 节及表 2—5。</x:v>
      </x:c>
      <x:c r="O51" s="7" t="str">
        <x:v>沿用前轮提取；待完整全文核查</x:v>
      </x:c>
      <x:c r="P51" s="7" t="str">
        <x:v>尚无经全文核查的精确页码、章节或图表位置。</x:v>
      </x:c>
      <x:c r="Q51" s="7" t="str">
        <x:v>直接贴近本项目服务调度。优先核对转移代价、容量含义和候选边的物理验证。</x:v>
      </x:c>
      <x:c r="R51" s="7" t="str">
        <x:v>目标规模与训练样本数不同。比较 gap 以最好方法结果为参照，不是已证全局最优差距。
中文原文附期刊官方英文题名。Crossref 未取得记录，DOI 由正式 PDF 首页核对。</x:v>
      </x:c>
      <x:c r="S51" s="7" t="str">
        <x:v>首轮锚点精读</x:v>
      </x:c>
      <x:c r="T51" s="7" t="str">
        <x:v>多对多服务的代理、容量与转移成本如何定义？资源约束是检查、修复还是奖励惩罚？</x:v>
      </x:c>
      <x:c r="U51" s="16" t="str"/>
      <x:c r="V51" s="7" t="str">
        <x:v>https://www.spacejournal.cn/yhxb/cn/article/pdf/preview/10.3873/j.issn.1000-1328.2025.01.017.pdf
https://doi.org/10.3873/j.issn.1000-1328.2025.01.017</x:v>
      </x:c>
      <x:c r="W51" s="13"/>
      <x:c r="X51" s="17" t="str"/>
      <x:c r="Y51" s="7" t="str">
        <x:v>研究／方法</x:v>
      </x:c>
    </x:row>
    <x:row r="52" ht="40" customHeight="1">
      <x:c r="A52" s="7" t="str">
        <x:v>O46</x:v>
      </x:c>
      <x:c r="B52" s="7" t="str">
        <x:v>3.2 动态任务与多资源联合调度</x:v>
      </x:c>
      <x:c r="C52" s="7" t="str">
        <x:v>4 综合评价与研究展望</x:v>
      </x:c>
      <x:c r="D52" s="7" t="str">
        <x:v>Q15、Q16、Q24</x:v>
      </x:c>
      <x:c r="E52" s="7" t="str">
        <x:v>应急任务随机到达、通信机会有限时，怎样协调各星？</x:v>
      </x:c>
      <x:c r="F52" s="7" t="str">
        <x:v>Online scheduling of distributed Earth observation satellite system under rigid communication constraints</x:v>
      </x:c>
      <x:c r="G52" s="7" t="str">
        <x:v>严格通信约束下分布式对地观测卫星系统的在线调度</x:v>
      </x:c>
      <x:c r="H52" s="14" t="str">
        <x:v>10.1016/j.asr.2020.02.018</x:v>
      </x:c>
      <x:c r="I52" s="12" t="n">
        <x:v>2020</x:v>
      </x:c>
      <x:c r="J52" s="7" t="str">
        <x:v>Advances in Space Research</x:v>
      </x:c>
      <x:c r="K52" s="7" t="str">
        <x:v>MILP 描述应急子问题。m-CBBA 和 m-ACBBA 加入通信回路预测，比较同步与异步协商。</x:v>
      </x:c>
      <x:c r="L52" s="7" t="str">
        <x:v>观测时间窗、任务序列依赖、有限星地及星间通信。</x:v>
      </x:c>
      <x:c r="M52" s="7" t="str">
        <x:v>比较 SingleItem-CNP、Batch-CNP、收益、应急任务完成与通信次数。</x:v>
      </x:c>
      <x:c r="N52" s="7" t="str">
        <x:v>出版社摘要、公开引言及实验场景片段。</x:v>
      </x:c>
      <x:c r="O52" s="7" t="str">
        <x:v>沿用前轮提取；待完整全文核查</x:v>
      </x:c>
      <x:c r="P52" s="7" t="str">
        <x:v>尚无经全文核查的精确页码、章节或图表位置。</x:v>
      </x:c>
      <x:c r="Q52" s="7" t="str">
        <x:v>分布式自主方法的重要基线，必须比较通信成本。</x:v>
      </x:c>
      <x:c r="R52" s="7" t="str">
        <x:v>任务无冲突分配和航天器物理避碰是不同约束。
2020 期刊。异步协商的收益与通信代价取决于场景。</x:v>
      </x:c>
      <x:c r="S52" s="7" t="str">
        <x:v>首轮锚点精读</x:v>
      </x:c>
      <x:c r="T52" s="7" t="str">
        <x:v>严格通信约束的时间与消息模型是什么？怎样实现在线协议和冲突消除？</x:v>
      </x:c>
      <x:c r="U52" s="16" t="str"/>
      <x:c r="V52" s="7" t="str">
        <x:v>https://www.sciencedirect.com/science/article/pii/S0273117720301101
https://doi.org/10.1016/j.asr.2020.02.018</x:v>
      </x:c>
      <x:c r="W52" s="13"/>
      <x:c r="X52" s="17" t="str"/>
      <x:c r="Y52" s="7" t="str">
        <x:v>研究／方法</x:v>
      </x:c>
    </x:row>
    <x:row r="53" ht="40" customHeight="1">
      <x:c r="A53" s="7" t="str">
        <x:v>O70</x:v>
      </x:c>
      <x:c r="B53" s="7" t="str">
        <x:v>3.2 动态任务与多资源联合调度</x:v>
      </x:c>
      <x:c r="C53" s="7" t="str">
        <x:v>4 综合评价与研究展望</x:v>
      </x:c>
      <x:c r="D53" s="7" t="str">
        <x:v>Q09、Q22</x:v>
      </x:c>
      <x:c r="E53" s="7" t="str">
        <x:v>如何在电池约束下协调多星任务，并得到可比较的优化界？</x:v>
      </x:c>
      <x:c r="F53" s="7" t="str">
        <x:v>A branch-and-price algorithm for energy aware task scheduling of constellations of nanosatellites</x:v>
      </x:c>
      <x:c r="G53" s="7" t="str">
        <x:v>面向纳卫星星座能量感知任务调度的分支定价算法</x:v>
      </x:c>
      <x:c r="H53" s="14" t="str">
        <x:v>10.1016/j.cor.2025.107259</x:v>
      </x:c>
      <x:c r="I53" s="12" t="n">
        <x:v>2026</x:v>
      </x:c>
      <x:c r="J53" s="7" t="str">
        <x:v>Computers &amp; Operations Research</x:v>
      </x:c>
      <x:c r="K53" s="7" t="str">
        <x:v>MILP与Dantzig–Wolfe分解；分支定价、动态规划定价、稳定化、强分支和MILP启发式。</x:v>
      </x:c>
      <x:c r="L53" s="7" t="str">
        <x:v>电池动态与任务可行性；主问题和子问题之间的星座协调。</x:v>
      </x:c>
      <x:c r="M53" s="7" t="str">
        <x:v>能量感知任务调度计算实验；实例规模待全文提取。</x:v>
      </x:c>
      <x:c r="N53" s="7" t="str">
        <x:v>出版社摘要与算法概述</x:v>
      </x:c>
      <x:c r="O53" s="7" t="str">
        <x:v>沿用前轮提取；待完整全文核查</x:v>
      </x:c>
      <x:c r="P53" s="7" t="str">
        <x:v>尚无经全文核查的精确页码、章节或图表位置。</x:v>
      </x:c>
      <x:c r="Q53" s="7" t="str">
        <x:v>提供精确运筹方法及上下界，补齐学习、启发式之外的比较基线。</x:v>
      </x:c>
      <x:c r="R53" s="7" t="str">
        <x:v>分支定价保证对应离散MILP模型；电源与轨道模型保真度需单独提取。
2025年在线，2026年正式卷期。</x:v>
      </x:c>
      <x:c r="S53" s="7" t="str">
        <x:v>首轮锚点精读</x:v>
      </x:c>
      <x:c r="T53" s="7" t="str">
        <x:v>主／子问题怎样表示电池与任务约束？上下界、定价和大规模求解成本是什么？</x:v>
      </x:c>
      <x:c r="U53" s="16" t="str"/>
      <x:c r="V53" s="7" t="str">
        <x:v>https://www.sciencedirect.com/science/article/pii/S0305054825002886
https://doi.org/10.1016/j.cor.2025.107259</x:v>
      </x:c>
      <x:c r="W53" s="13"/>
      <x:c r="X53" s="17" t="str"/>
      <x:c r="Y53" s="7" t="str">
        <x:v>研究／方法</x:v>
      </x:c>
    </x:row>
    <x:row r="54" ht="40" customHeight="1">
      <x:c r="A54" s="7" t="str">
        <x:v>O73</x:v>
      </x:c>
      <x:c r="B54" s="7" t="str">
        <x:v>3.2 动态任务与多资源联合调度</x:v>
      </x:c>
      <x:c r="C54" s="7" t="str">
        <x:v>4 综合评价与研究展望</x:v>
      </x:c>
      <x:c r="D54" s="7" t="str">
        <x:v>Q12、Q23</x:v>
      </x:c>
      <x:c r="E54" s="7" t="str">
        <x:v>如何协调设施和中继相关任务，满足实际地面站调度要求？</x:v>
      </x:c>
      <x:c r="F54" s="7" t="str">
        <x:v>Optimizing satellite ground station facilities scheduling for RSGS: a novel model and algorithm</x:v>
      </x:c>
      <x:c r="G54" s="7" t="str">
        <x:v>面向RSGS的卫星地面站设施调度优化：新模型与算法</x:v>
      </x:c>
      <x:c r="H54" s="14" t="str">
        <x:v>10.1080/17538947.2023.2259870</x:v>
      </x:c>
      <x:c r="I54" s="12" t="n">
        <x:v>2023</x:v>
      </x:c>
      <x:c r="J54" s="7" t="str">
        <x:v>International Journal of Digital Earth</x:v>
      </x:c>
      <x:c r="K54" s="7" t="str">
        <x:v>连续时间MILP与三阶段分解；采用粒子群优化处理子问题。</x:v>
      </x:c>
      <x:c r="L54" s="7" t="str">
        <x:v>地面站设施、时间与任务耦合；完整运行规则待提取。</x:v>
      </x:c>
      <x:c r="M54" s="7" t="str">
        <x:v>作者报告已用于RSGS实际运行与在线排班。</x:v>
      </x:c>
      <x:c r="N54" s="7" t="str">
        <x:v>出版社摘要</x:v>
      </x:c>
      <x:c r="O54" s="7" t="str">
        <x:v>沿用前轮提取；待完整全文核查</x:v>
      </x:c>
      <x:c r="P54" s="7" t="str">
        <x:v>尚无经全文核查的精确页码、章节或图表位置。</x:v>
      </x:c>
      <x:c r="Q54" s="7" t="str">
        <x:v>补齐系统落地证据，并加入地面站设施层面的瓶颈。</x:v>
      </x:c>
      <x:c r="R54" s="7" t="str">
        <x:v>运行部署表述来自论文；需进一步提取现场范围、持续时间和比较基线。
2023年正式期刊论文。</x:v>
      </x:c>
      <x:c r="S54" s="7" t="str">
        <x:v>首轮锚点精读</x:v>
      </x:c>
      <x:c r="T54" s="7" t="str">
        <x:v>哪些范围真正用于地面站运行？现场时域、输入、故障与基线证据是什么？</x:v>
      </x:c>
      <x:c r="U54" s="16" t="str"/>
      <x:c r="V54" s="7" t="str">
        <x:v>https://www.tandfonline.com/doi/abs/10.1080/17538947.2023.2259870
https://doi.org/10.1080/17538947.2023.2259870</x:v>
      </x:c>
      <x:c r="W54" s="13"/>
      <x:c r="X54" s="17" t="str"/>
      <x:c r="Y54" s="7" t="str">
        <x:v>研究／方法</x:v>
      </x:c>
    </x:row>
    <x:row r="55" ht="40" customHeight="1">
      <x:c r="A55" s="7" t="str">
        <x:v>O90</x:v>
      </x:c>
      <x:c r="B55" s="7" t="str">
        <x:v>3.2 动态任务与多资源联合调度</x:v>
      </x:c>
      <x:c r="C55" s="7" t="str">
        <x:v>4 综合评价与研究展望</x:v>
      </x:c>
      <x:c r="D55" s="7" t="str">
        <x:v>Q15、Q09、Q22</x:v>
      </x:c>
      <x:c r="E55" s="7" t="str">
        <x:v>如何处理变量数量巨大的星座观测分配问题，并降低集中决策依赖？</x:v>
      </x:c>
      <x:c r="F55" s="7" t="str">
        <x:v>Decentralized, Decomposition-Based Observation Scheduling for a Large-Scale Satellite Constellation</x:v>
      </x:c>
      <x:c r="G55" s="7" t="str">
        <x:v>面向大型卫星星座的去中心化分解式观测调度</x:v>
      </x:c>
      <x:c r="H55" s="14" t="str">
        <x:v>10.1613/jair.1.16997</x:v>
      </x:c>
      <x:c r="I55" s="12" t="n">
        <x:v>2025</x:v>
      </x:c>
      <x:c r="J55" s="7" t="str">
        <x:v>Journal of Artificial Intelligence Research</x:v>
      </x:c>
      <x:c r="K55" s="7" t="str">
        <x:v>将COSP表述为DCOP；几何邻域分解（GND）与邻域子问题搜索（NSS）。</x:v>
      </x:c>
      <x:c r="L55" s="7" t="str">
        <x:v>几何结构、观测冲突与局部通信；完整执行约束待提取。</x:v>
      </x:c>
      <x:c r="M55" s="7" t="str">
        <x:v>扩展期刊论文的模型与计算实验。</x:v>
      </x:c>
      <x:c r="N55" s="7" t="str">
        <x:v>出版社登记摘要及JPL项目入口</x:v>
      </x:c>
      <x:c r="O55" s="7" t="str">
        <x:v>沿用前轮提取；待完整全文核查</x:v>
      </x:c>
      <x:c r="P55" s="7" t="str">
        <x:v>尚无经全文核查的精确页码、章节或图表位置。</x:v>
      </x:c>
      <x:c r="Q55" s="7" t="str">
        <x:v>作为DCOP与分解优化的核心代表，和多智能体强化学习并列比较。</x:v>
      </x:c>
      <x:c r="R55" s="7" t="str">
        <x:v>变量数不是卫星数；去中心化优化并不自动证明星上执行或通信异常下的鲁棒性。
2025年JAIR扩展版；与ICAPS 2024同题版本10.1609/icaps.v34i1.31535合并计为1条。</x:v>
      </x:c>
      <x:c r="S55" s="7" t="str">
        <x:v>首轮锚点精读</x:v>
      </x:c>
      <x:c r="T55" s="7" t="str">
        <x:v>GND与NSS怎样定义邻域和消息？变量、卫星、任务数及模型可行性怎样分开？</x:v>
      </x:c>
      <x:c r="U55" s="16" t="str"/>
      <x:c r="V55" s="7" t="str">
        <x:v>https://www.jair.org/index.php/jair/article/view/16997
https://ai.jpl.nasa.gov/public/projects/fame/
https://doi.org/10.1613/jair.1.16997</x:v>
      </x:c>
      <x:c r="W55" s="13"/>
      <x:c r="X55" s="17" t="str"/>
      <x:c r="Y55" s="7" t="str">
        <x:v>研究／方法</x:v>
      </x:c>
    </x:row>
    <x:row r="56" ht="40" customHeight="1">
      <x:c r="A56" s="7" t="str">
        <x:v>O101</x:v>
      </x:c>
      <x:c r="B56" s="7" t="str">
        <x:v>3.2 动态任务与多资源联合调度</x:v>
      </x:c>
      <x:c r="C56" s="7" t="str">
        <x:v>4 综合评价与研究展望</x:v>
      </x:c>
      <x:c r="D56" s="7" t="str">
        <x:v>Q09、Q22、Q24</x:v>
      </x:c>
      <x:c r="E56" s="7" t="str">
        <x:v>如何在大量卫星与动态新增任务下快速分配并修复序列？</x:v>
      </x:c>
      <x:c r="F56" s="7" t="str">
        <x:v>Lagrangian hierarchical mixed-integer programming for ultra-large-scale satellite scheduling under dynamic task delivery</x:v>
      </x:c>
      <x:c r="G56" s="7" t="str">
        <x:v>动态任务下发条件下超大规模卫星调度的拉格朗日分层混合整数规划</x:v>
      </x:c>
      <x:c r="H56" s="14" t="str">
        <x:v>10.1016/j.asr.2025.12.008</x:v>
      </x:c>
      <x:c r="I56" s="12" t="n">
        <x:v>2026</x:v>
      </x:c>
      <x:c r="J56" s="7" t="str">
        <x:v>Advances in Space Research</x:v>
      </x:c>
      <x:c r="K56" s="7" t="str">
        <x:v>冲突感知动态多背包、改进拉格朗日松弛；回溯与递归序列重构。</x:v>
      </x:c>
      <x:c r="L56" s="7" t="str">
        <x:v>任务冲突、分配、序列与动态新增任务；完整资源模型待提取。</x:v>
      </x:c>
      <x:c r="M56" s="7" t="str">
        <x:v>超大规模仿真实验与启发式基线比较。</x:v>
      </x:c>
      <x:c r="N56" s="7" t="str">
        <x:v>出版社摘要与算法概述</x:v>
      </x:c>
      <x:c r="O56" s="7" t="str">
        <x:v>沿用前轮提取；待完整全文核查</x:v>
      </x:c>
      <x:c r="P56" s="7" t="str">
        <x:v>尚无经全文核查的精确页码、章节或图表位置。</x:v>
      </x:c>
      <x:c r="Q56" s="7" t="str">
        <x:v>提供明确卫星数量的大星座扩展性证据。</x:v>
      </x:c>
      <x:c r="R56" s="7" t="str">
        <x:v>这是调度仿真规模；应进一步核查资源模型、任务生成、计算硬件和重复实验。
2025年在线，2026年第77卷第11期。</x:v>
      </x:c>
      <x:c r="S56" s="7" t="str">
        <x:v>首轮锚点精读</x:v>
      </x:c>
      <x:c r="T56" s="7" t="str">
        <x:v>1000颗卫星案例的任务生成、资源模型、时域和硬件是什么？在线修复与拉格朗日部分成本如何计量？</x:v>
      </x:c>
      <x:c r="U56" s="16" t="str"/>
      <x:c r="V56" s="7" t="str">
        <x:v>https://www.sciencedirect.com/science/article/pii/S0273117725014188
https://doi.org/10.1016/j.asr.2025.12.008</x:v>
      </x:c>
      <x:c r="W56" s="13"/>
      <x:c r="X56" s="17" t="str"/>
      <x:c r="Y56" s="7" t="str">
        <x:v>研究／方法</x:v>
      </x:c>
    </x:row>
    <x:row r="57" ht="40" customHeight="1">
      <x:c r="A57" s="7" t="str">
        <x:v>O108</x:v>
      </x:c>
      <x:c r="B57" s="7" t="str">
        <x:v>3.2 动态任务与多资源联合调度</x:v>
      </x:c>
      <x:c r="C57" s="7" t="str">
        <x:v>无额外章节</x:v>
      </x:c>
      <x:c r="D57" s="7" t="str">
        <x:v>Q11</x:v>
      </x:c>
      <x:c r="E57" s="7" t="str">
        <x:v>如何显式安排能量补充，避免观测计划挤占充电与下传时段？</x:v>
      </x:c>
      <x:c r="F57" s="7" t="str">
        <x:v>Joint observation and transmission scheduling of multiple agile satellites with energy constraint using improved ACO algorithm</x:v>
      </x:c>
      <x:c r="G57" s="7" t="str">
        <x:v>采用改进蚁群算法的能量约束多敏捷卫星观测与传输联合调度</x:v>
      </x:c>
      <x:c r="H57" s="14" t="str">
        <x:v>10.1016/j.actaastro.2025.02.008</x:v>
      </x:c>
      <x:c r="I57" s="12" t="n">
        <x:v>2025</x:v>
      </x:c>
      <x:c r="J57" s="7" t="str">
        <x:v>Acta Astronautica</x:v>
      </x:c>
      <x:c r="K57" s="7" t="str">
        <x:v>LSE-ACO-MKTA：多背包任务分配与局部搜索增强蚁群优化。</x:v>
      </x:c>
      <x:c r="L57" s="7" t="str">
        <x:v>观测、传输、充电、存储与姿态相关能量消耗／补充。</x:v>
      </x:c>
      <x:c r="M57" s="7" t="str">
        <x:v>必要性分析、局部搜索与任务分配机制比较实验。</x:v>
      </x:c>
      <x:c r="N57" s="7" t="str">
        <x:v>出版社摘要与约束讨论</x:v>
      </x:c>
      <x:c r="O57" s="7" t="str">
        <x:v>沿用前轮提取；待完整全文核查</x:v>
      </x:c>
      <x:c r="P57" s="7" t="str">
        <x:v>尚无经全文核查的精确页码、章节或图表位置。</x:v>
      </x:c>
      <x:c r="Q57" s="7" t="str">
        <x:v>直接补齐能量动态与长期多资源联合调度。</x:v>
      </x:c>
      <x:c r="R57" s="7" t="str">
        <x:v>完整姿态和能量保真度仍需逐项核对；启发式结果不是最优性保证。
2025年正式期刊论文。</x:v>
      </x:c>
      <x:c r="S57" s="7" t="str">
        <x:v>首轮锚点精读</x:v>
      </x:c>
      <x:c r="T57" s="7" t="str">
        <x:v>充电功率是否随姿态／轨道变化？观察、下传与能量状态怎样共同验证？</x:v>
      </x:c>
      <x:c r="U57" s="16" t="str"/>
      <x:c r="V57" s="7" t="str">
        <x:v>https://www.sciencedirect.com/science/article/pii/S0094576525000797
https://doi.org/10.1016/j.actaastro.2025.02.008</x:v>
      </x:c>
      <x:c r="W57" s="13"/>
      <x:c r="X57" s="17" t="str"/>
      <x:c r="Y57" s="7" t="str">
        <x:v>研究／方法</x:v>
      </x:c>
    </x:row>
    <x:row r="58" ht="54" customHeight="1">
      <x:c r="A58" s="7" t="str">
        <x:v>O112</x:v>
      </x:c>
      <x:c r="B58" s="7" t="str">
        <x:v>3.2 动态任务与多资源联合调度</x:v>
      </x:c>
      <x:c r="C58" s="7" t="str">
        <x:v>3.4 跨层耦合与闭环协同
4 综合评价与研究展望</x:v>
      </x:c>
      <x:c r="D58" s="7" t="str">
        <x:v>Q13、Q11、Q21、Q24</x:v>
      </x:c>
      <x:c r="E58" s="7" t="str">
        <x:v>如何结合图像质量、能量和计算能力，交付有价值的检测结果？</x:v>
      </x:c>
      <x:c r="F58" s="7" t="str">
        <x:v>Edge Intelligence for Satellite-Based Earth Observation: Scheduling Image Acquisition and Processing</x:v>
      </x:c>
      <x:c r="G58" s="7" t="str">
        <x:v>卫星对地观测边缘智能：图像采集与处理调度</x:v>
      </x:c>
      <x:c r="H58" s="14" t="str">
        <x:v>10.1002/sat.70082</x:v>
      </x:c>
      <x:c r="I58" s="12" t="n">
        <x:v>2026</x:v>
      </x:c>
      <x:c r="J58" s="7" t="str">
        <x:v>International Journal of Satellite Communications and Networking</x:v>
      </x:c>
      <x:c r="K58" s="7" t="str">
        <x:v>耦合的观测选择与处理调度，考虑湍流引起的图像退化；分配语义推理负载。</x:v>
      </x:c>
      <x:c r="L58" s="7" t="str">
        <x:v>数据获取、计算、通信、能量与异构推理时间。</x:v>
      </x:c>
      <x:c r="M58" s="7" t="str">
        <x:v>作者摘要报告观测与处理策略评估及不同计算平台的推理执行时间实验。</x:v>
      </x:c>
      <x:c r="N58" s="7" t="str">
        <x:v>2026-10-09核查作者预印本摘要；原期刊DOI沿用前轮编目。</x:v>
      </x:c>
      <x:c r="O58" s="7" t="str">
        <x:v>本轮已核作者摘要；全文与期刊版待核</x:v>
      </x:c>
      <x:c r="P58" s="7" t="str">
        <x:v>arXiv:2604.05937v1摘要及Comments；该作者版本声明投稿，正式期刊版需另核。</x:v>
      </x:c>
      <x:c r="Q58" s="7" t="str">
        <x:v>使调度目标从图像数量扩展到下游信息价值与计算成本。</x:v>
      </x:c>
      <x:c r="R58" s="7" t="str">
        <x:v>作者预印本与期刊版本差异待核；计算平台测量不能替代全星座在轨证据。
2026-08-24正式在线；与2026年4月预印本合并。Crossref题名连接号编码异常，按出版社题名修复。</x:v>
      </x:c>
      <x:c r="S58" s="7" t="str">
        <x:v>首轮锚点精读</x:v>
      </x:c>
      <x:c r="T58" s="7" t="str">
        <x:v>图像质量、语义任务收益与推理时间怎样进入模型？哪些耗时是实测，哪些星座结果来自仿真？</x:v>
      </x:c>
      <x:c r="U58" s="16" t="str"/>
      <x:c r="V58" s="7" t="str">
        <x:v>https://arxiv.org/abs/2604.05937
https://onlinelibrary.wiley.com/doi/10.1002/sat.70082
https://doi.org/10.1002/sat.70082</x:v>
      </x:c>
      <x:c r="W58" s="13" t="d">
        <x:v>2026-10-09T00:00:00.000Z</x:v>
      </x:c>
      <x:c r="X58" s="17" t="str"/>
      <x:c r="Y58" s="7" t="str">
        <x:v>研究／方法</x:v>
      </x:c>
    </x:row>
    <x:row r="59" ht="40" customHeight="1">
      <x:c r="A59" s="7" t="str">
        <x:v>O113</x:v>
      </x:c>
      <x:c r="B59" s="7" t="str">
        <x:v>3.2 动态任务与多资源联合调度</x:v>
      </x:c>
      <x:c r="C59" s="7" t="str">
        <x:v>无额外章节</x:v>
      </x:c>
      <x:c r="D59" s="7" t="str">
        <x:v>Q16、Q11</x:v>
      </x:c>
      <x:c r="E59" s="7" t="str">
        <x:v>任务信息与数据传输都受连接机会限制时，如何降低请求到交付时延？</x:v>
      </x:c>
      <x:c r="F59" s="7" t="str">
        <x:v>A delay-tolerant network approach to satellite pickup and delivery scheduling</x:v>
      </x:c>
      <x:c r="G59" s="7" t="str">
        <x:v>卫星采集与交付调度的延迟容忍网络方法</x:v>
      </x:c>
      <x:c r="H59" s="14" t="str">
        <x:v>10.1016/j.adhoc.2023.103289</x:v>
      </x:c>
      <x:c r="I59" s="12" t="n">
        <x:v>2023</x:v>
      </x:c>
      <x:c r="J59" s="7" t="str">
        <x:v>Ad Hoc Networks</x:v>
      </x:c>
      <x:c r="K59" s="7" t="str">
        <x:v>Contact Graph Scheduling（CGS），结合CGR接触图路由与动态采集—交付路径。</x:v>
      </x:c>
      <x:c r="L59" s="7" t="str">
        <x:v>时变网络、资源、运行限制与接触可靠性。</x:v>
      </x:c>
      <x:c r="M59" s="7" t="str">
        <x:v>客户请求完成量与交付时延的模拟比较；分析局部／集中路由。</x:v>
      </x:c>
      <x:c r="N59" s="7" t="str">
        <x:v>出版社公开摘要与模型概述</x:v>
      </x:c>
      <x:c r="O59" s="7" t="str">
        <x:v>沿用前轮提取；待完整全文核查</x:v>
      </x:c>
      <x:c r="P59" s="7" t="str">
        <x:v>尚无经全文核查的精确页码、章节或图表位置。</x:v>
      </x:c>
      <x:c r="Q59" s="7" t="str">
        <x:v>把任务分配、指令传播和产品交付放进同一时间网络。</x:v>
      </x:c>
      <x:c r="R59" s="7" t="str">
        <x:v>确定／预测接触图与实际网络可靠性之间有差异；可用连通性条件需全文提取。
2023年正式期刊论文；以DOI入口作为可追溯主入口。</x:v>
      </x:c>
      <x:c r="S59" s="7" t="str">
        <x:v>首轮锚点精读</x:v>
      </x:c>
      <x:c r="T59" s="7" t="str">
        <x:v>接触图不确定性如何影响采集、指令传播和交付？是否同时模拟任务信息和数据路径？</x:v>
      </x:c>
      <x:c r="U59" s="16" t="str"/>
      <x:c r="V59" s="7" t="str">
        <x:v>https://doi.org/10.1016/j.adhoc.2023.103289</x:v>
      </x:c>
      <x:c r="W59" s="13"/>
      <x:c r="X59" s="17" t="str"/>
      <x:c r="Y59" s="7" t="str">
        <x:v>研究／方法</x:v>
      </x:c>
    </x:row>
    <x:row r="60" ht="40" customHeight="1">
      <x:c r="A60" s="7" t="str">
        <x:v>O116</x:v>
      </x:c>
      <x:c r="B60" s="7" t="str">
        <x:v>3.2 动态任务与多资源联合调度</x:v>
      </x:c>
      <x:c r="C60" s="7" t="str">
        <x:v>4 综合评价与研究展望</x:v>
      </x:c>
      <x:c r="D60" s="7" t="str">
        <x:v>Q16、Q15、Q22</x:v>
      </x:c>
      <x:c r="E60" s="7" t="str">
        <x:v>理论异步分配行为在实际有损网络模型中是否仍成立？</x:v>
      </x:c>
      <x:c r="F60" s="7" t="str">
        <x:v>Performance of the Asynchronous Consensus Based Bundle Algorithm in Lossy Network Environments</x:v>
      </x:c>
      <x:c r="G60" s="7" t="str">
        <x:v>有损网络环境下异步一致性任务包算法的性能</x:v>
      </x:c>
      <x:c r="H60" s="14" t="str">
        <x:v>10.1109/SAM.2018.8448984</x:v>
      </x:c>
      <x:c r="I60" s="12" t="n">
        <x:v>2018</x:v>
      </x:c>
      <x:c r="J60" s="7" t="str">
        <x:v>2018 IEEE 10th Sensor Array and Multichannel Signal Processing Workshop (SAM)</x:v>
      </x:c>
      <x:c r="K60" s="7" t="str">
        <x:v>UB-ANC网络模拟器中评估ACBBA对代理／任务数量和丢包的敏感性。</x:v>
      </x:c>
      <x:c r="L60" s="7" t="str">
        <x:v>有损无线网络、任务冲突与通信行为。</x:v>
      </x:c>
      <x:c r="M60" s="7" t="str">
        <x:v>报告重复分配、部分任务未分配等偏离理论预期的现象。</x:v>
      </x:c>
      <x:c r="N60" s="7" t="str">
        <x:v>作者机构完整摘要与正式编目</x:v>
      </x:c>
      <x:c r="O60" s="7" t="str">
        <x:v>沿用前轮提取；待完整全文核查</x:v>
      </x:c>
      <x:c r="P60" s="7" t="str">
        <x:v>尚无经全文核查的精确页码、章节或图表位置。</x:v>
      </x:c>
      <x:c r="Q60" s="7" t="str">
        <x:v>加入负向证据，防止把一致性理论无条件套到星座协同。</x:v>
      </x:c>
      <x:c r="R60" s="7" t="str">
        <x:v>UAV网络结果不能直接外推到星间链路；应在卫星拓扑和时延模型下复检。
2018年IEEE SAM会议论文。</x:v>
      </x:c>
      <x:c r="S60" s="7" t="str">
        <x:v>首轮锚点精读</x:v>
      </x:c>
      <x:c r="T60" s="7" t="str">
        <x:v>什么网络与规模下出现重复分配／漏分配？结论迁移到卫星系统需要哪些条件？</x:v>
      </x:c>
      <x:c r="U60" s="16" t="str"/>
      <x:c r="V60" s="7" t="str">
        <x:v>https://researchconnect.buffalo.edu/en/publications/performance-of-the-asynchronous-consensus-based-bundle-algorithm-/
https://doi.org/10.1109/SAM.2018.8448984</x:v>
      </x:c>
      <x:c r="W60" s="13"/>
      <x:c r="X60" s="17" t="str"/>
      <x:c r="Y60" s="7" t="str">
        <x:v>研究／方法</x:v>
      </x:c>
    </x:row>
    <x:row r="61" ht="40" customHeight="1">
      <x:c r="A61" s="7" t="str">
        <x:v>R10</x:v>
      </x:c>
      <x:c r="B61" s="7" t="str">
        <x:v>3.2 动态任务与多资源联合调度</x:v>
      </x:c>
      <x:c r="C61" s="7" t="str">
        <x:v>4 综合评价与研究展望
1 引言</x:v>
      </x:c>
      <x:c r="D61" s="7" t="str">
        <x:v>Q09、Q15、Q22、Q01</x:v>
      </x:c>
      <x:c r="E61" s="7" t="str">
        <x:v>大型成像任务的集中／分布／混合架构、优化模型和算法。</x:v>
      </x:c>
      <x:c r="F61" s="7" t="str">
        <x:v>A review of the frameworks, models, and algorithms for large-scale imaging satellite mission planning</x:v>
      </x:c>
      <x:c r="G61" s="7" t="str">
        <x:v>大型成像卫星任务规划的框架、模型与算法综述</x:v>
      </x:c>
      <x:c r="H61" s="14" t="str">
        <x:v>10.1016/j.eswa.2025.128471</x:v>
      </x:c>
      <x:c r="I61" s="12" t="n">
        <x:v>2025</x:v>
      </x:c>
      <x:c r="J61" s="7" t="str">
        <x:v>Expert Systems with Applications</x:v>
      </x:c>
      <x:c r="K61" s="7" t="str">
        <x:v>大型成像任务的集中／分布／混合架构、优化模型和算法。</x:v>
      </x:c>
      <x:c r="L61" s="7" t="str">
        <x:v>该综述的范围、模型假设和约束分类待逐项全文提取。</x:v>
      </x:c>
      <x:c r="M61" s="7" t="str">
        <x:v>综述归纳材料；具体技术结论需回溯原始研究。</x:v>
      </x:c>
      <x:c r="N61" s="7" t="str">
        <x:v>出版社摘要、引言与公开片段</x:v>
      </x:c>
      <x:c r="O61" s="7" t="str">
        <x:v>沿用前轮提取；待完整全文核查</x:v>
      </x:c>
      <x:c r="P61" s="7" t="str">
        <x:v>尚无经全文核查的精确页码、章节或图表位置。</x:v>
      </x:c>
      <x:c r="Q61" s="7" t="str">
        <x:v>比较基础调度模型及精确、启发式和学习混合方法。 作为既有综述或分类参照。</x:v>
      </x:c>
      <x:c r="R61" s="7" t="str">
        <x:v>仅采用架构—模型—算法结构不足以区分；我们的运维服务对象与证据维度需明确。
所提规模阈值是该文建议，不能当作领域统一标准。</x:v>
      </x:c>
      <x:c r="S61" s="7" t="str">
        <x:v>首轮锚点精读</x:v>
      </x:c>
      <x:c r="T61" s="7" t="str">
        <x:v>核对综述的实际对象、文献时段、任务类别、分类框架、安全接口与证据维度；确定我们可以新增的比较。</x:v>
      </x:c>
      <x:c r="U61" s="16" t="str"/>
      <x:c r="V61" s="7" t="str">
        <x:v>https://www.sciencedirect.com/science/article/pii/S0957417425020901
https://doi.org/10.1016/j.eswa.2025.128471</x:v>
      </x:c>
      <x:c r="W61" s="13"/>
      <x:c r="X61" s="17" t="str"/>
      <x:c r="Y61" s="7" t="str">
        <x:v>综述</x:v>
      </x:c>
    </x:row>
    <x:row r="62" ht="40" customHeight="1">
      <x:c r="A62" s="7" t="str">
        <x:v>R11</x:v>
      </x:c>
      <x:c r="B62" s="7" t="str">
        <x:v>3.2 动态任务与多资源联合调度</x:v>
      </x:c>
      <x:c r="C62" s="7" t="str">
        <x:v>2 系统框架与问题建模
1 引言</x:v>
      </x:c>
      <x:c r="D62" s="7" t="str">
        <x:v>Q15、Q02、Q16、Q01</x:v>
      </x:c>
      <x:c r="E62" s="7" t="str">
        <x:v>智能体类型、架构、通信协议、任务管理与应用的系统分类。</x:v>
      </x:c>
      <x:c r="F62" s="7" t="str">
        <x:v>Agent-based approaches for distributed space systems and mission management: Methodologies, current practices and challenges</x:v>
      </x:c>
      <x:c r="G62" s="7" t="str">
        <x:v>分布式航天系统与任务管理的智能体方法：方法体系、实践现状与挑战</x:v>
      </x:c>
      <x:c r="H62" s="14" t="str">
        <x:v>10.1016/j.actaastro.2025.10.018</x:v>
      </x:c>
      <x:c r="I62" s="12" t="n">
        <x:v>2026</x:v>
      </x:c>
      <x:c r="J62" s="7" t="str">
        <x:v>Acta Astronautica</x:v>
      </x:c>
      <x:c r="K62" s="7" t="str">
        <x:v>智能体类型、架构、通信协议、任务管理与应用的系统分类。</x:v>
      </x:c>
      <x:c r="L62" s="7" t="str">
        <x:v>该综述的范围、模型假设和约束分类待逐项全文提取。</x:v>
      </x:c>
      <x:c r="M62" s="7" t="str">
        <x:v>综述归纳材料；具体技术结论需回溯原始研究。</x:v>
      </x:c>
      <x:c r="N62" s="7" t="str">
        <x:v>出版社摘要与作者机构全文（本对话定向阅读）</x:v>
      </x:c>
      <x:c r="O62" s="7" t="str">
        <x:v>沿用前轮提取；待完整全文核查</x:v>
      </x:c>
      <x:c r="P62" s="7" t="str">
        <x:v>尚无经全文核查的精确页码、章节或图表位置。</x:v>
      </x:c>
      <x:c r="Q62" s="7" t="str">
        <x:v>比较集中与分布方法的协调机制和适用条件。 作为既有综述或分类参照。</x:v>
      </x:c>
      <x:c r="R62" s="7" t="str">
        <x:v>多智能体分类已有直接综述；后续应比较物理约束、运维任务与验证证据。
在线2025-10-14；正式卷期2026年1月。</x:v>
      </x:c>
      <x:c r="S62" s="7" t="str">
        <x:v>首轮锚点精读</x:v>
      </x:c>
      <x:c r="T62" s="7" t="str">
        <x:v>核对综述的实际对象、文献时段、任务类别、分类框架、安全接口与证据维度；确定我们可以新增的比较。</x:v>
      </x:c>
      <x:c r="U62" s="16" t="str"/>
      <x:c r="V62" s="7" t="str">
        <x:v>https://digital.library.adelaide.edu.au/server/api/core/bitstreams/482432e4-b0a1-48de-aefb-979a0fc69ca5/content
https://doi.org/10.1016/j.actaastro.2025.10.018</x:v>
      </x:c>
      <x:c r="W62" s="13"/>
      <x:c r="X62" s="17" t="str"/>
      <x:c r="Y62" s="7" t="str">
        <x:v>综述</x:v>
      </x:c>
    </x:row>
    <x:row r="63" ht="40" customHeight="1">
      <x:c r="A63" s="7" t="str">
        <x:v>O07</x:v>
      </x:c>
      <x:c r="B63" s="7" t="str">
        <x:v>3.2 动态任务与多资源联合调度</x:v>
      </x:c>
      <x:c r="C63" s="7" t="str">
        <x:v>3.1 长期能力配置与运维决策
3.3 安全执行与异常恢复
3.4 跨层耦合与闭环协同</x:v>
      </x:c>
      <x:c r="D63" s="7" t="str">
        <x:v>Q08、Q06、Q18、Q21</x:v>
      </x:c>
      <x:c r="E63" s="7" t="str">
        <x:v>服务船初始轨道、相位、访问安排与转移时间如何联合决定？</x:v>
      </x:c>
      <x:c r="F63" s="7" t="str">
        <x:v>Mission planning for on-orbit servicing through multiple servicing satellites: A new approach</x:v>
      </x:c>
      <x:c r="G63" s="7" t="str">
        <x:v>通过多个服务卫星开展在轨服务的任务规划：一种新方法</x:v>
      </x:c>
      <x:c r="H63" s="14" t="str">
        <x:v>10.1016/j.asr.2017.05.037</x:v>
      </x:c>
      <x:c r="I63" s="12" t="n">
        <x:v>2017</x:v>
      </x:c>
      <x:c r="J63" s="7" t="str">
        <x:v>Advances in Space Research</x:v>
      </x:c>
      <x:c r="K63" s="7" t="str">
        <x:v>多目标粒子群＋Lambert转移；Taguchi参数设计。</x:v>
      </x:c>
      <x:c r="L63" s="7" t="str">
        <x:v>燃料、时长、初始轨道与任务安排；存在特定会合相位假设。</x:v>
      </x:c>
      <x:c r="M63" s="7" t="str">
        <x:v>数值仿真。</x:v>
      </x:c>
      <x:c r="N63" s="7" t="str">
        <x:v>出版社摘要与公开章节片段</x:v>
      </x:c>
      <x:c r="O63" s="7" t="str">
        <x:v>沿用前轮提取；待完整全文核查</x:v>
      </x:c>
      <x:c r="P63" s="7" t="str">
        <x:v>尚无经全文核查的精确页码、章节或图表位置。</x:v>
      </x:c>
      <x:c r="Q63" s="7" t="str">
        <x:v>比较早期联合配置思路；不能用小规模结果支持大型星座可扩展性。</x:v>
      </x:c>
      <x:c r="R63" s="7" t="str">
        <x:v>优化终端和相位假设应与我们的联合约束分别编码。
优化终端和相位假设应与我们的联合约束分别编码。</x:v>
      </x:c>
      <x:c r="S63" s="7" t="str">
        <x:v>第二轮专题精读</x:v>
      </x:c>
      <x:c r="T63" s="7" t="str">
        <x:v>提取变量、任务链、目标、窗口、资源动态与不确定性；确认收益是否需要实际完成或交付。</x:v>
      </x:c>
      <x:c r="U63" s="16" t="str"/>
      <x:c r="V63" s="7" t="str">
        <x:v>https://www.sciencedirect.com/science/article/pii/S0273117717303824
https://doi.org/10.1016/j.asr.2017.05.037</x:v>
      </x:c>
      <x:c r="W63" s="13"/>
      <x:c r="X63" s="17" t="str"/>
      <x:c r="Y63" s="7" t="str">
        <x:v>研究／方法</x:v>
      </x:c>
    </x:row>
    <x:row r="64" ht="40" customHeight="1">
      <x:c r="A64" s="7" t="str">
        <x:v>O11</x:v>
      </x:c>
      <x:c r="B64" s="7" t="str">
        <x:v>3.2 动态任务与多资源联合调度</x:v>
      </x:c>
      <x:c r="C64" s="7" t="str">
        <x:v>3.3 安全执行与异常恢复
3.4 跨层耦合与闭环协同</x:v>
      </x:c>
      <x:c r="D64" s="7" t="str">
        <x:v>Q08、Q18、Q21</x:v>
      </x:c>
      <x:c r="E64" s="7" t="str">
        <x:v>服务导致质量变化时，如何加速转移与序列联合规划？</x:v>
      </x:c>
      <x:c r="F64" s="7" t="str">
        <x:v>Deep reinforcement learning-based fast hybrid planning for multi-type on-orbit service under mass variation dynamics</x:v>
      </x:c>
      <x:c r="G64" s="7" t="str">
        <x:v>质量变化动力学下多类型在轨服务的深度强化学习快速混合规划</x:v>
      </x:c>
      <x:c r="H64" s="14" t="str">
        <x:v>10.1016/j.ast.2025.111235</x:v>
      </x:c>
      <x:c r="I64" s="12" t="n">
        <x:v>2026</x:v>
      </x:c>
      <x:c r="J64" s="7" t="str">
        <x:v>Aerospace Science and Technology</x:v>
      </x:c>
      <x:c r="K64" s="7" t="str">
        <x:v>下层监督学习估计转移，上层注意力／DRL序列规划。</x:v>
      </x:c>
      <x:c r="L64" s="7" t="str">
        <x:v>非线性时变转移、服务任务与质量变化。</x:v>
      </x:c>
      <x:c r="M64" s="7" t="str">
        <x:v>论文公开内容为数值方法研究；详细泛化范围待全文。</x:v>
      </x:c>
      <x:c r="N64" s="7" t="str">
        <x:v>出版社公开引言与方法片段</x:v>
      </x:c>
      <x:c r="O64" s="7" t="str">
        <x:v>沿用前轮提取；待完整全文核查</x:v>
      </x:c>
      <x:c r="P64" s="7" t="str">
        <x:v>尚无经全文核查的精确页码、章节或图表位置。</x:v>
      </x:c>
      <x:c r="Q64" s="7" t="str">
        <x:v>用于学习方法实际作用比较；代理估计不直接等于物理可行性证明。</x:v>
      </x:c>
      <x:c r="R64" s="7" t="str">
        <x:v>DOI含2025，正式卷期2026；不归入LEO实证。
DOI含2025，正式卷期2026；不归入LEO实证。</x:v>
      </x:c>
      <x:c r="S64" s="7" t="str">
        <x:v>第二轮专题精读</x:v>
      </x:c>
      <x:c r="T64" s="7" t="str">
        <x:v>提取分解、算法作用位置、可行性检查、信息交换、网络异常、理论前提和训练／在线总成本。</x:v>
      </x:c>
      <x:c r="U64" s="16" t="str"/>
      <x:c r="V64" s="7" t="str">
        <x:v>https://www.sciencedirect.com/science/article/pii/S1270963825012982
https://doi.org/10.1016/j.ast.2025.111235</x:v>
      </x:c>
      <x:c r="W64" s="13"/>
      <x:c r="X64" s="17" t="str"/>
      <x:c r="Y64" s="7" t="str">
        <x:v>研究／方法</x:v>
      </x:c>
    </x:row>
    <x:row r="65" ht="40" customHeight="1">
      <x:c r="A65" s="7" t="str">
        <x:v>O14</x:v>
      </x:c>
      <x:c r="B65" s="7" t="str">
        <x:v>3.2 动态任务与多资源联合调度</x:v>
      </x:c>
      <x:c r="C65" s="7" t="str">
        <x:v>无额外章节</x:v>
      </x:c>
      <x:c r="D65" s="7" t="str">
        <x:v>Q12</x:v>
      </x:c>
      <x:c r="E65" s="7" t="str">
        <x:v>大规模星地可见窗口如何分配并适应任务变化？</x:v>
      </x:c>
      <x:c r="F65" s="7" t="str">
        <x:v>Automatic scheduling of satellite tracking tasks by means of policy-gradient reinforcement learning and transformer-based pointer networks</x:v>
      </x:c>
      <x:c r="G65" s="7" t="str">
        <x:v>利用策略梯度强化学习和Transformer指针网络自动调度卫星跟踪任务</x:v>
      </x:c>
      <x:c r="H65" s="14" t="str">
        <x:v>10.1007/s12567-026-00726-y</x:v>
      </x:c>
      <x:c r="I65" s="12" t="n">
        <x:v>2026</x:v>
      </x:c>
      <x:c r="J65" s="7" t="str">
        <x:v>CEAS Space Journal</x:v>
      </x:c>
      <x:c r="K65" s="7" t="str">
        <x:v>单个策略梯度学习智能体＋Transformer指针网络，接触图与动作屏蔽。</x:v>
      </x:c>
      <x:c r="L65" s="7" t="str">
        <x:v>缓冲、非重叠、冷却及可见窗口。</x:v>
      </x:c>
      <x:c r="M65" s="7" t="str">
        <x:v>仿真比较DP及贪婪。</x:v>
      </x:c>
      <x:c r="N65" s="7" t="str">
        <x:v>出版社正式全文定向阅读</x:v>
      </x:c>
      <x:c r="O65" s="7" t="str">
        <x:v>沿用前轮提取；待完整全文核查</x:v>
      </x:c>
      <x:c r="P65" s="7" t="str">
        <x:v>尚无经全文核查的精确页码、章节或图表位置。</x:v>
      </x:c>
      <x:c r="Q65" s="7" t="str">
        <x:v>用于规模和资源接口；tracking在此指TT&amp;C联系，不等于O12的SSA观测。</x:v>
      </x:c>
      <x:c r="R65" s="7" t="str">
        <x:v>采用正式摘要3500和single policy-gradient agent；不套用早期预印本4600／多智能体强化学习措辞。
采用正式摘要3500和single policy-gradient agent；不套用早期预印本4600／多智能体强化学习措辞。</x:v>
      </x:c>
      <x:c r="S65" s="7" t="str">
        <x:v>第二轮专题精读</x:v>
      </x:c>
      <x:c r="T65" s="7" t="str">
        <x:v>提取变量、任务链、目标、窗口、资源动态与不确定性；确认收益是否需要实际完成或交付。</x:v>
      </x:c>
      <x:c r="U65" s="16" t="str"/>
      <x:c r="V65" s="7" t="str">
        <x:v>https://link.springer.com/article/10.1007/s12567-026-00726-y
https://doi.org/10.1007/s12567-026-00726-y</x:v>
      </x:c>
      <x:c r="W65" s="13"/>
      <x:c r="X65" s="17" t="str"/>
      <x:c r="Y65" s="7" t="str">
        <x:v>研究／方法</x:v>
      </x:c>
    </x:row>
    <x:row r="66" ht="38" customHeight="1">
      <x:c r="A66" s="7" t="str">
        <x:v>O17</x:v>
      </x:c>
      <x:c r="B66" s="7" t="str">
        <x:v>3.2 动态任务与多资源联合调度</x:v>
      </x:c>
      <x:c r="C66" s="7" t="str">
        <x:v>无额外章节</x:v>
      </x:c>
      <x:c r="D66" s="7" t="str">
        <x:v>Q11、Q09</x:v>
      </x:c>
      <x:c r="E66" s="7" t="str">
        <x:v>如何同时选择观测与下传任务，避免存储和能源瓶颈？</x:v>
      </x:c>
      <x:c r="F66" s="7" t="str">
        <x:v>The integrated agile Earth observation satellite scheduling problem</x:v>
      </x:c>
      <x:c r="G66" s="7" t="str">
        <x:v>敏捷对地观测卫星成像与下传联合调度问题</x:v>
      </x:c>
      <x:c r="H66" s="14" t="str">
        <x:v>10.1016/j.cor.2025.107212</x:v>
      </x:c>
      <x:c r="I66" s="12" t="n">
        <x:v>2025</x:v>
      </x:c>
      <x:c r="J66" s="7" t="str">
        <x:v>Computers &amp; Operations Research</x:v>
      </x:c>
      <x:c r="K66" s="7" t="str">
        <x:v>联合调度优化；完整求解细节待全文提取。</x:v>
      </x:c>
      <x:c r="L66" s="7" t="str">
        <x:v>存储、时间窗、任务切换与能源动态。</x:v>
      </x:c>
      <x:c r="M66" s="7" t="str">
        <x:v>数值调度研究；完整实验域待全文。</x:v>
      </x:c>
      <x:c r="N66" s="7" t="str">
        <x:v>出版社公开摘要</x:v>
      </x:c>
      <x:c r="O66" s="7" t="str">
        <x:v>沿用前轮提取；待完整全文核查</x:v>
      </x:c>
      <x:c r="P66" s="7" t="str">
        <x:v>尚无经全文核查的精确页码、章节或图表位置。</x:v>
      </x:c>
      <x:c r="Q66" s="7" t="str">
        <x:v>作为任务链资源耦合参照，避免仅用单环节收益评价系统。</x:v>
      </x:c>
      <x:c r="R66" s="7" t="str">
        <x:v>归入成像业务方法参照，不当作在轨运维服务实验。
归入成像业务方法参照，不当作在轨运维服务实验。</x:v>
      </x:c>
      <x:c r="S66" s="7" t="str">
        <x:v>第二轮专题精读</x:v>
      </x:c>
      <x:c r="T66" s="7" t="str">
        <x:v>提取变量、任务链、目标、窗口、资源动态与不确定性；确认收益是否需要实际完成或交付。</x:v>
      </x:c>
      <x:c r="U66" s="16" t="str"/>
      <x:c r="V66" s="7" t="str">
        <x:v>https://www.sciencedirect.com/science/article/pii/S0305054825002400
https://doi.org/10.1016/j.cor.2025.107212</x:v>
      </x:c>
      <x:c r="W66" s="13"/>
      <x:c r="X66" s="17" t="str"/>
      <x:c r="Y66" s="7" t="str">
        <x:v>研究／方法</x:v>
      </x:c>
    </x:row>
    <x:row r="67" ht="40" customHeight="1">
      <x:c r="A67" s="7" t="str">
        <x:v>O18</x:v>
      </x:c>
      <x:c r="B67" s="7" t="str">
        <x:v>3.2 动态任务与多资源联合调度</x:v>
      </x:c>
      <x:c r="C67" s="7" t="str">
        <x:v>3.4 跨层耦合与闭环协同</x:v>
      </x:c>
      <x:c r="D67" s="7" t="str">
        <x:v>Q14、Q11、Q21</x:v>
      </x:c>
      <x:c r="E67" s="7" t="str">
        <x:v>SAR告警触发EO响应时如何保证任务次序和数据一致性？</x:v>
      </x:c>
      <x:c r="F67" s="7" t="str">
        <x:v>Tip-and-cue mission scheduling in heterogeneous satellite constellations using mixed-integer linear programming</x:v>
      </x:c>
      <x:c r="G67" s="7" t="str">
        <x:v>采用混合整数线性规划的异构卫星星座提示—精细观测任务调度</x:v>
      </x:c>
      <x:c r="H67" s="14" t="str">
        <x:v>10.1016/j.actaastro.2026.04.059</x:v>
      </x:c>
      <x:c r="I67" s="12" t="n">
        <x:v>2026</x:v>
      </x:c>
      <x:c r="J67" s="7" t="str">
        <x:v>Acta Astronautica</x:v>
      </x:c>
      <x:c r="K67" s="7" t="str">
        <x:v>MILP＋时间窗聚类。</x:v>
      </x:c>
      <x:c r="L67" s="7" t="str">
        <x:v>观测、接力、下传前序；阴影、内存及目标级数据流。</x:v>
      </x:c>
      <x:c r="M67" s="7" t="str">
        <x:v>数值调度与聚类比较。</x:v>
      </x:c>
      <x:c r="N67" s="7" t="str">
        <x:v>出版社公开引言与章节片段</x:v>
      </x:c>
      <x:c r="O67" s="7" t="str">
        <x:v>沿用前轮提取；待完整全文核查</x:v>
      </x:c>
      <x:c r="P67" s="7" t="str">
        <x:v>尚无经全文核查的精确页码、章节或图表位置。</x:v>
      </x:c>
      <x:c r="Q67" s="7" t="str">
        <x:v>用于任务依赖与异构协同建模，不能直接迁移为服务船路线模型。</x:v>
      </x:c>
      <x:c r="R67" s="7" t="str">
        <x:v>正式卷期2026年9月。
正式卷期2026年9月。</x:v>
      </x:c>
      <x:c r="S67" s="7" t="str">
        <x:v>第二轮专题精读</x:v>
      </x:c>
      <x:c r="T67" s="7" t="str">
        <x:v>提取变量、任务链、目标、窗口、资源动态与不确定性；确认收益是否需要实际完成或交付。</x:v>
      </x:c>
      <x:c r="U67" s="16" t="str"/>
      <x:c r="V67" s="7" t="str">
        <x:v>https://www.sciencedirect.com/science/article/pii/S0094576526002936
https://doi.org/10.1016/j.actaastro.2026.04.059</x:v>
      </x:c>
      <x:c r="W67" s="13"/>
      <x:c r="X67" s="17" t="str"/>
      <x:c r="Y67" s="7" t="str">
        <x:v>研究／方法</x:v>
      </x:c>
    </x:row>
    <x:row r="68" ht="40" customHeight="1">
      <x:c r="A68" s="7" t="str">
        <x:v>O19</x:v>
      </x:c>
      <x:c r="B68" s="7" t="str">
        <x:v>3.2 动态任务与多资源联合调度</x:v>
      </x:c>
      <x:c r="C68" s="7" t="str">
        <x:v>3.3 安全执行与异常恢复
3.4 跨层耦合与闭环协同</x:v>
      </x:c>
      <x:c r="D68" s="7" t="str">
        <x:v>Q08、Q18、Q21</x:v>
      </x:c>
      <x:c r="E68" s="7" t="str">
        <x:v>直接转移与漂移轨道怎样结合以降低连续服务燃料消耗？</x:v>
      </x:c>
      <x:c r="F68" s="7" t="str">
        <x:v>On-orbit-servicing via routing optimization using high-thrust or low-thrust propulsion</x:v>
      </x:c>
      <x:c r="G68" s="7" t="str">
        <x:v>采用高推力或低推力推进的路径优化在轨服务</x:v>
      </x:c>
      <x:c r="H68" s="14" t="str">
        <x:v>10.1016/j.actaastro.2026.04.053</x:v>
      </x:c>
      <x:c r="I68" s="12" t="n">
        <x:v>2026</x:v>
      </x:c>
      <x:c r="J68" s="7" t="str">
        <x:v>Acta Astronautica</x:v>
      </x:c>
      <x:c r="K68" s="7" t="str">
        <x:v>内层转移代价，外层顺序与时刻编码及模拟退火。</x:v>
      </x:c>
      <x:c r="L68" s="7" t="str">
        <x:v>J2差分进动、推进方式、相位等待与服务时间。</x:v>
      </x:c>
      <x:c r="M68" s="7" t="str">
        <x:v>数值路线与轨迹案例。</x:v>
      </x:c>
      <x:c r="N68" s="7" t="str">
        <x:v>出版社公开摘要</x:v>
      </x:c>
      <x:c r="O68" s="7" t="str">
        <x:v>沿用前轮提取；待完整全文核查</x:v>
      </x:c>
      <x:c r="P68" s="7" t="str">
        <x:v>尚无经全文核查的精确页码、章节或图表位置。</x:v>
      </x:c>
      <x:c r="Q68" s="7" t="str">
        <x:v>最新直接相关研究；用来比较时变代价、相位处理和任务连续性。</x:v>
      </x:c>
      <x:c r="R68" s="7" t="str">
        <x:v>路线规划已有直接LEO研究，不能泛称缺少此类方法。
路线规划已有直接LEO研究，不能泛称缺少此类方法。</x:v>
      </x:c>
      <x:c r="S68" s="7" t="str">
        <x:v>第二轮专题精读</x:v>
      </x:c>
      <x:c r="T68" s="7" t="str">
        <x:v>提取变量、任务链、目标、窗口、资源动态与不确定性；确认收益是否需要实际完成或交付。</x:v>
      </x:c>
      <x:c r="U68" s="16" t="str"/>
      <x:c r="V68" s="7" t="str">
        <x:v>https://www.sciencedirect.com/science/article/pii/S0094576526002869
https://doi.org/10.1016/j.actaastro.2026.04.053</x:v>
      </x:c>
      <x:c r="W68" s="13"/>
      <x:c r="X68" s="17" t="str"/>
      <x:c r="Y68" s="7" t="str">
        <x:v>研究／方法</x:v>
      </x:c>
    </x:row>
    <x:row r="69" ht="38" customHeight="1">
      <x:c r="A69" s="7" t="str">
        <x:v>O20</x:v>
      </x:c>
      <x:c r="B69" s="7" t="str">
        <x:v>3.2 动态任务与多资源联合调度</x:v>
      </x:c>
      <x:c r="C69" s="7" t="str">
        <x:v>3.1 长期能力配置与运维决策</x:v>
      </x:c>
      <x:c r="D69" s="7" t="str">
        <x:v>Q08、Q06</x:v>
      </x:c>
      <x:c r="E69" s="7" t="str">
        <x:v>服务船及目标数量可变时，如何联合选择、分配与访问？</x:v>
      </x:c>
      <x:c r="F69" s="7" t="str">
        <x:v>Mission planning for multispacecraft on-orbit servicing using IMPHGGA</x:v>
      </x:c>
      <x:c r="G69" s="7" t="str">
        <x:v>采用IMPHGGA的多航天器在轨服务任务规划</x:v>
      </x:c>
      <x:c r="H69" s="14" t="str">
        <x:v>10.1016/j.ast.2026.113572</x:v>
      </x:c>
      <x:c r="I69" s="12" t="n">
        <x:v>2026</x:v>
      </x:c>
      <x:c r="J69" s="7" t="str">
        <x:v>Aerospace Science and Technology</x:v>
      </x:c>
      <x:c r="K69" s="7" t="str">
        <x:v>未知维度混合整数模型、隐基因遗传算法、初始化与多种群演化。</x:v>
      </x:c>
      <x:c r="L69" s="7" t="str">
        <x:v>服务船选择、目标选择与分配、交会顺序和转移轨迹。</x:v>
      </x:c>
      <x:c r="M69" s="7" t="str">
        <x:v>数值导航星座维修案例。</x:v>
      </x:c>
      <x:c r="N69" s="7" t="str">
        <x:v>出版社公开摘要与编目</x:v>
      </x:c>
      <x:c r="O69" s="7" t="str">
        <x:v>沿用前轮提取；待完整全文核查</x:v>
      </x:c>
      <x:c r="P69" s="7" t="str">
        <x:v>尚无经全文核查的精确页码、章节或图表位置。</x:v>
      </x:c>
      <x:c r="Q69" s="7" t="str">
        <x:v>联合配置与任务规划的重要最新近邻，优先核对可行性与尺度。</x:v>
      </x:c>
      <x:c r="R69" s="7" t="str">
        <x:v>2026-08-21已在线；Crossref登记卷期2026-12，截止日未到卷期月份。
2026-08-21已在线；Crossref登记卷期2026-12，截止日未到卷期月份。</x:v>
      </x:c>
      <x:c r="S69" s="7" t="str">
        <x:v>第二轮专题精读</x:v>
      </x:c>
      <x:c r="T69" s="7" t="str">
        <x:v>提取变量、任务链、目标、窗口、资源动态与不确定性；确认收益是否需要实际完成或交付。</x:v>
      </x:c>
      <x:c r="U69" s="16" t="str"/>
      <x:c r="V69" s="7" t="str">
        <x:v>https://www.sciencedirect.com/science/article/pii/S1270963826019486
https://doi.org/10.1016/j.ast.2026.113572</x:v>
      </x:c>
      <x:c r="W69" s="13"/>
      <x:c r="X69" s="17" t="str"/>
      <x:c r="Y69" s="7" t="str">
        <x:v>研究／方法</x:v>
      </x:c>
    </x:row>
    <x:row r="70" ht="40" customHeight="1">
      <x:c r="A70" s="7" t="str">
        <x:v>O25</x:v>
      </x:c>
      <x:c r="B70" s="7" t="str">
        <x:v>3.2 动态任务与多资源联合调度</x:v>
      </x:c>
      <x:c r="C70" s="7" t="str">
        <x:v>4 综合评价与研究展望</x:v>
      </x:c>
      <x:c r="D70" s="7" t="str">
        <x:v>Q09、Q10、Q22</x:v>
      </x:c>
      <x:c r="E70" s="7" t="str">
        <x:v>大量应急任务动态到达时，如何兼顾响应速度与解质量？</x:v>
      </x:c>
      <x:c r="F70" s="7" t="str">
        <x:v>Deep reinforcement learning-assisted large neighborhood search for online scheduling large-scale emergency tasks to Earth-observing satellites</x:v>
      </x:c>
      <x:c r="G70" s="7" t="str">
        <x:v>面向大规模应急对地观测任务在线调度的深度强化学习辅助大邻域搜索</x:v>
      </x:c>
      <x:c r="H70" s="14" t="str">
        <x:v>10.1016/j.eswa.2025.128502</x:v>
      </x:c>
      <x:c r="I70" s="12" t="n">
        <x:v>2025</x:v>
      </x:c>
      <x:c r="J70" s="7" t="str">
        <x:v>Expert Systems with Applications</x:v>
      </x:c>
      <x:c r="K70" s="7" t="str">
        <x:v>滚动时域转化静态子问题。学习策略分解任务序列与资源选择，再以三个破坏修复算子改善初解。</x:v>
      </x:c>
      <x:c r="L70" s="7" t="str">
        <x:v>任务可见机会和卫星资源；完整约束集待模型节提取。</x:v>
      </x:c>
      <x:c r="M70" s="7" t="str">
        <x:v>与三个代表算法进行计算实验。</x:v>
      </x:c>
      <x:c r="N70" s="7" t="str">
        <x:v>出版社摘要、Highlights 与公开引言片段。</x:v>
      </x:c>
      <x:c r="O70" s="7" t="str">
        <x:v>沿用前轮提取；待完整全文核查</x:v>
      </x:c>
      <x:c r="P70" s="7" t="str">
        <x:v>尚无经全文核查的精确页码、章节或图表位置。</x:v>
      </x:c>
      <x:c r="Q70" s="7" t="str">
        <x:v>适合作为学习生成初解与组合优化修复这一方法类别的代表。</x:v>
      </x:c>
      <x:c r="R70" s="7" t="str">
        <x:v>数值调度改进；未据摘要推断航天器轨迹安全或星上实际运行时延。
期刊卷期 2025-10。与一般车辆路径 DR-ALNS 论文区分。</x:v>
      </x:c>
      <x:c r="S70" s="7" t="str">
        <x:v>第二轮专题精读</x:v>
      </x:c>
      <x:c r="T70" s="7" t="str">
        <x:v>提取分解、算法作用位置、可行性检查、信息交换、网络异常、理论前提和训练／在线总成本。</x:v>
      </x:c>
      <x:c r="U70" s="16" t="str"/>
      <x:c r="V70" s="7" t="str">
        <x:v>https://www.sciencedirect.com/science/article/pii/S0957417425021219
https://doi.org/10.1016/j.eswa.2025.128502</x:v>
      </x:c>
      <x:c r="W70" s="13"/>
      <x:c r="X70" s="17" t="str"/>
      <x:c r="Y70" s="7" t="str">
        <x:v>研究／方法</x:v>
      </x:c>
    </x:row>
    <x:row r="71" ht="40" customHeight="1">
      <x:c r="A71" s="7" t="str">
        <x:v>O26</x:v>
      </x:c>
      <x:c r="B71" s="7" t="str">
        <x:v>3.2 动态任务与多资源联合调度</x:v>
      </x:c>
      <x:c r="C71" s="7" t="str">
        <x:v>无额外章节</x:v>
      </x:c>
      <x:c r="D71" s="7" t="str">
        <x:v>Q11、Q13</x:v>
      </x:c>
      <x:c r="E71" s="7" t="str">
        <x:v>如何在统一决策模型中同时安排观测和数据传输？</x:v>
      </x:c>
      <x:c r="F71" s="7" t="str">
        <x:v>UHTS-DRL: A deep reinforcement learning framework for integrated agile satellite observation and data transmission scheduling</x:v>
      </x:c>
      <x:c r="G71" s="7" t="str">
        <x:v>UHTS-DRL：敏捷卫星观测与数据传输联合调度的深度强化学习框架</x:v>
      </x:c>
      <x:c r="H71" s="14" t="str">
        <x:v>10.1016/j.ins.2026.123200</x:v>
      </x:c>
      <x:c r="I71" s="12" t="n">
        <x:v>2026</x:v>
      </x:c>
      <x:c r="J71" s="7" t="str">
        <x:v>Information Sciences</x:v>
      </x:c>
      <x:c r="K71" s="7" t="str">
        <x:v>统一 MDP。多时间窗编码、状态编码与两阶段双解码器结合，联合选择卫星和任务。</x:v>
      </x:c>
      <x:c r="L71" s="7" t="str">
        <x:v>多轨道时间窗、资源限制、观测与下传依赖。</x:v>
      </x:c>
      <x:c r="M71" s="7" t="str">
        <x:v>仿真比较启发式与元启发式，改变目标地理分布和资源配置。</x:v>
      </x:c>
      <x:c r="N71" s="7" t="str">
        <x:v>出版社摘要、引言与第 3—6 节公开片段。</x:v>
      </x:c>
      <x:c r="O71" s="7" t="str">
        <x:v>沿用前轮提取；待完整全文核查</x:v>
      </x:c>
      <x:c r="P71" s="7" t="str">
        <x:v>尚无经全文核查的精确页码、章节或图表位置。</x:v>
      </x:c>
      <x:c r="Q71" s="7" t="str">
        <x:v>说明管理系统须包含数据回传和执行依赖，避免只排观测任务。</x:v>
      </x:c>
      <x:c r="R71" s="7" t="str">
        <x:v>联合任务调度框架；不同于服务航天器的转移轨迹规划。
Information Sciences 第 740 卷，2026。</x:v>
      </x:c>
      <x:c r="S71" s="7" t="str">
        <x:v>第二轮专题精读</x:v>
      </x:c>
      <x:c r="T71" s="7" t="str">
        <x:v>提取变量、任务链、目标、窗口、资源动态与不确定性；确认收益是否需要实际完成或交付。</x:v>
      </x:c>
      <x:c r="U71" s="16" t="str"/>
      <x:c r="V71" s="7" t="str">
        <x:v>https://www.sciencedirect.com/science/article/pii/S0020025526001313
https://doi.org/10.1016/j.ins.2026.123200</x:v>
      </x:c>
      <x:c r="W71" s="13"/>
      <x:c r="X71" s="17" t="str"/>
      <x:c r="Y71" s="7" t="str">
        <x:v>研究／方法</x:v>
      </x:c>
    </x:row>
    <x:row r="72" ht="40" customHeight="1">
      <x:c r="A72" s="7" t="str">
        <x:v>O30</x:v>
      </x:c>
      <x:c r="B72" s="7" t="str">
        <x:v>3.2 动态任务与多资源联合调度</x:v>
      </x:c>
      <x:c r="C72" s="7" t="str">
        <x:v>3.1 长期能力配置与运维决策</x:v>
      </x:c>
      <x:c r="D72" s="7" t="str">
        <x:v>Q08、Q07</x:v>
      </x:c>
      <x:c r="E72" s="7" t="str">
        <x:v>加注需求和捕获概率不确定时，期望收益与最坏情况策略如何不同？</x:v>
      </x:c>
      <x:c r="F72" s="7" t="str">
        <x:v>GEO satellite on-orbit refueling and debris removal hybrid mission planning under uncertainty</x:v>
      </x:c>
      <x:c r="G72" s="7" t="str">
        <x:v>不确定性下 GEO 卫星在轨加注与碎片移除混合任务规划</x:v>
      </x:c>
      <x:c r="H72" s="14" t="str">
        <x:v>10.1016/j.asr.2024.05.059</x:v>
      </x:c>
      <x:c r="I72" s="12" t="n">
        <x:v>2024</x:v>
      </x:c>
      <x:c r="J72" s="7" t="str">
        <x:v>Advances in Space Research</x:v>
      </x:c>
      <x:c r="K72" s="7" t="str">
        <x:v>两阶段转移建立目标轨道间有向图。分别构造随机期望模型与盒不确定集鲁棒模型。</x:v>
      </x:c>
      <x:c r="L72" s="7" t="str">
        <x:v>质量变化、转移燃料消耗及不同服务类型。</x:v>
      </x:c>
      <x:c r="M72" s="7" t="str">
        <x:v>不同不确定情景下比较两类优化模型。</x:v>
      </x:c>
      <x:c r="N72" s="7" t="str">
        <x:v>出版社摘要、公开引言和章节说明。</x:v>
      </x:c>
      <x:c r="O72" s="7" t="str">
        <x:v>沿用前轮提取；待完整全文核查</x:v>
      </x:c>
      <x:c r="P72" s="7" t="str">
        <x:v>尚无经全文核查的精确页码、章节或图表位置。</x:v>
      </x:c>
      <x:c r="Q72" s="7" t="str">
        <x:v>比较不确定性的类型和处理位置，避免把所有不确定性统一归为动态任务到达。</x:v>
      </x:c>
      <x:c r="R72" s="7" t="str">
        <x:v>GEO 模型参照，不能直接外推 LEO 摄动与服务规模。
2024 正式期刊版。</x:v>
      </x:c>
      <x:c r="S72" s="7" t="str">
        <x:v>第二轮专题精读</x:v>
      </x:c>
      <x:c r="T72" s="7" t="str">
        <x:v>提取变量、任务链、目标、窗口、资源动态与不确定性；确认收益是否需要实际完成或交付。</x:v>
      </x:c>
      <x:c r="U72" s="16" t="str"/>
      <x:c r="V72" s="7" t="str">
        <x:v>https://www.sciencedirect.com/science/article/pii/S0273117724005258
https://doi.org/10.1016/j.asr.2024.05.059</x:v>
      </x:c>
      <x:c r="W72" s="13"/>
      <x:c r="X72" s="17" t="str"/>
      <x:c r="Y72" s="7" t="str">
        <x:v>研究／方法</x:v>
      </x:c>
    </x:row>
    <x:row r="73" ht="40" customHeight="1">
      <x:c r="A73" s="7" t="str">
        <x:v>O34</x:v>
      </x:c>
      <x:c r="B73" s="7" t="str">
        <x:v>3.2 动态任务与多资源联合调度</x:v>
      </x:c>
      <x:c r="C73" s="7" t="str">
        <x:v>3.1 长期能力配置与运维决策
4 综合评价与研究展望</x:v>
      </x:c>
      <x:c r="D73" s="7" t="str">
        <x:v>Q08、Q06、Q22</x:v>
      </x:c>
      <x:c r="E73" s="7" t="str">
        <x:v>如何分解大规模加注任务，并处理组间服务顺序耦合？</x:v>
      </x:c>
      <x:c r="F73" s="7" t="str">
        <x:v>A clustering-reconstruction-based multi-objective refueling mission scheduling framework for large-scale geosynchronous orbit spacecraft</x:v>
      </x:c>
      <x:c r="G73" s="7" t="str">
        <x:v>面向大规模 GEO 航天器的聚类—重构多目标加注任务调度框架</x:v>
      </x:c>
      <x:c r="H73" s="14" t="str">
        <x:v>10.1016/j.ast.2025.111457</x:v>
      </x:c>
      <x:c r="I73" s="12" t="n">
        <x:v>2026</x:v>
      </x:c>
      <x:c r="J73" s="7" t="str">
        <x:v>Aerospace Science and Technology</x:v>
      </x:c>
      <x:c r="K73" s="7" t="str">
        <x:v>E2LSH-CSS 聚类划分目标。NSGA-II 求各组候选解，再用 MORA 进行多目标重构。</x:v>
      </x:c>
      <x:c r="L73" s="7" t="str">
        <x:v>时变位置造成组间时序冲突；完整目标函数和约束待模型节提取。</x:v>
      </x:c>
      <x:c r="M73" s="7" t="str">
        <x:v>数值实验，比较效率与多目标解集。</x:v>
      </x:c>
      <x:c r="N73" s="7" t="str">
        <x:v>出版社摘要、引言与第 3 节方法说明片段。</x:v>
      </x:c>
      <x:c r="O73" s="7" t="str">
        <x:v>沿用前轮提取；待完整全文核查</x:v>
      </x:c>
      <x:c r="P73" s="7" t="str">
        <x:v>尚无经全文核查的精确页码、章节或图表位置。</x:v>
      </x:c>
      <x:c r="Q73" s="7" t="str">
        <x:v>作为分组降维方法，比较分组依据是否保留跨组物理和时间耦合。</x:v>
      </x:c>
      <x:c r="R73" s="7" t="str">
        <x:v>启发式重构的 Pareto 解集不能据摘要认定为全局最优前沿。
正式卷期 2026-02，DOI 含 2025；相关 IAC 2024 与 SSRN 稿不另计独立论文。</x:v>
      </x:c>
      <x:c r="S73" s="7" t="str">
        <x:v>第二轮专题精读</x:v>
      </x:c>
      <x:c r="T73" s="7" t="str">
        <x:v>提取分解、算法作用位置、可行性检查、信息交换、网络异常、理论前提和训练／在线总成本。</x:v>
      </x:c>
      <x:c r="U73" s="16" t="str"/>
      <x:c r="V73" s="7" t="str">
        <x:v>https://www.sciencedirect.com/science/article/pii/S1270963825015214
https://doi.org/10.1016/j.ast.2025.111457</x:v>
      </x:c>
      <x:c r="W73" s="13"/>
      <x:c r="X73" s="17" t="str"/>
      <x:c r="Y73" s="7" t="str">
        <x:v>研究／方法</x:v>
      </x:c>
    </x:row>
    <x:row r="74" ht="40" customHeight="1">
      <x:c r="A74" s="7" t="str">
        <x:v>O47</x:v>
      </x:c>
      <x:c r="B74" s="7" t="str">
        <x:v>3.2 动态任务与多资源联合调度</x:v>
      </x:c>
      <x:c r="C74" s="7" t="str">
        <x:v>无额外章节</x:v>
      </x:c>
      <x:c r="D74" s="7" t="str">
        <x:v>Q15、Q09</x:v>
      </x:c>
      <x:c r="E74" s="7" t="str">
        <x:v>怎样把任务需求转成观测区域并分配给异构卫星？</x:v>
      </x:c>
      <x:c r="F74" s="7" t="str">
        <x:v>Self-Organizing Method on Mission-Level Task Allocation of Large-Scale Remote Sensing Satellite Swarm</x:v>
      </x:c>
      <x:c r="G74" s="7" t="str">
        <x:v>大规模遥感卫星群任务级分配的自组织方法</x:v>
      </x:c>
      <x:c r="H74" s="14" t="str">
        <x:v>10.1155/2022/9307837</x:v>
      </x:c>
      <x:c r="I74" s="12" t="n">
        <x:v>2022</x:v>
      </x:c>
      <x:c r="J74" s="7" t="str">
        <x:v>International Journal of Aerospace Engineering</x:v>
      </x:c>
      <x:c r="K74" s="7" t="str">
        <x:v>任务需求生成、区域分解和改进合同网协商组成任务级自组织。</x:v>
      </x:c>
      <x:c r="L74" s="7" t="str">
        <x:v>载荷能力、观测区域、可见时间及协同任务相关性。</x:v>
      </x:c>
      <x:c r="M74" s="7" t="str">
        <x:v>出版社全文任务案例仿真。</x:v>
      </x:c>
      <x:c r="N74" s="7" t="str">
        <x:v>出版社全文第 3 节及图 14—17。</x:v>
      </x:c>
      <x:c r="O74" s="7" t="str">
        <x:v>沿用前轮提取；待完整全文核查</x:v>
      </x:c>
      <x:c r="P74" s="7" t="str">
        <x:v>尚无经全文核查的精确页码、章节或图表位置。</x:v>
      </x:c>
      <x:c r="Q74" s="7" t="str">
        <x:v>按任务层级拆解以及异构能力协商的参照。</x:v>
      </x:c>
      <x:c r="R74" s="7" t="str">
        <x:v>24 为具体案例参与星数，不把题名大规模替代为千星实验。
2022 期刊。性能和最优性表述需要正式综述全文复核。</x:v>
      </x:c>
      <x:c r="S74" s="7" t="str">
        <x:v>第二轮专题精读</x:v>
      </x:c>
      <x:c r="T74" s="7" t="str">
        <x:v>提取分解、算法作用位置、可行性检查、信息交换、网络异常、理论前提和训练／在线总成本。</x:v>
      </x:c>
      <x:c r="U74" s="16" t="str"/>
      <x:c r="V74" s="7" t="str">
        <x:v>https://onlinelibrary.wiley.com/doi/10.1155/2022/9307837
https://doi.org/10.1155/2022/9307837</x:v>
      </x:c>
      <x:c r="W74" s="13"/>
      <x:c r="X74" s="17" t="str"/>
      <x:c r="Y74" s="7" t="str">
        <x:v>研究／方法</x:v>
      </x:c>
    </x:row>
    <x:row r="75" ht="40" customHeight="1">
      <x:c r="A75" s="7" t="str">
        <x:v>O48</x:v>
      </x:c>
      <x:c r="B75" s="7" t="str">
        <x:v>3.2 动态任务与多资源联合调度</x:v>
      </x:c>
      <x:c r="C75" s="7" t="str">
        <x:v>无额外章节</x:v>
      </x:c>
      <x:c r="D75" s="7" t="str">
        <x:v>Q15、Q10</x:v>
      </x:c>
      <x:c r="E75" s="7" t="str">
        <x:v>任务优先级和资源变化时，怎样调整协同调度策略？</x:v>
      </x:c>
      <x:c r="F75" s="7" t="str">
        <x:v>Dynamic task scheduling optimization by rolling horizon deep reinforcement learning for distributed satellite system</x:v>
      </x:c>
      <x:c r="G75" s="7" t="str">
        <x:v>采用滚动时域深度强化学习的分布式卫星系统动态任务调度优化</x:v>
      </x:c>
      <x:c r="H75" s="14" t="str">
        <x:v>10.1016/j.eswa.2025.128350</x:v>
      </x:c>
      <x:c r="I75" s="12" t="n">
        <x:v>2025</x:v>
      </x:c>
      <x:c r="J75" s="7" t="str">
        <x:v>Expert Systems with Applications</x:v>
      </x:c>
      <x:c r="K75" s="7" t="str">
        <x:v>MAMDP 建模。RH-MAPPO 用滚动时域，集中训练、各星独立执行，双损失改善训练。</x:v>
      </x:c>
      <x:c r="L75" s="7" t="str">
        <x:v>任务到达、优先级、资源需求和星上资源利用。</x:v>
      </x:c>
      <x:c r="M75" s="7" t="str">
        <x:v>与其他学习和启发式方法比较任务完成率、收益和调度时间。</x:v>
      </x:c>
      <x:c r="N75" s="7" t="str">
        <x:v>出版社摘要及公开引言。</x:v>
      </x:c>
      <x:c r="O75" s="7" t="str">
        <x:v>沿用前轮提取；待完整全文核查</x:v>
      </x:c>
      <x:c r="P75" s="7" t="str">
        <x:v>尚无经全文核查的精确页码、章节或图表位置。</x:v>
      </x:c>
      <x:c r="Q75" s="7" t="str">
        <x:v>动态协同算法代表，与合同网及 CBBA 做机制比较。</x:v>
      </x:c>
      <x:c r="R75" s="7" t="str">
        <x:v>训练时间、推理时间与滚动优化总时延应分开比较；暂无轨迹安全保证编码。
2025-09 期刊；400 指任务数而不是卫星数。</x:v>
      </x:c>
      <x:c r="S75" s="7" t="str">
        <x:v>第二轮专题精读</x:v>
      </x:c>
      <x:c r="T75" s="7" t="str">
        <x:v>提取分解、算法作用位置、可行性检查、信息交换、网络异常、理论前提和训练／在线总成本。</x:v>
      </x:c>
      <x:c r="U75" s="16" t="str"/>
      <x:c r="V75" s="7" t="str">
        <x:v>https://www.sciencedirect.com/science/article/pii/S0957417425019694
https://doi.org/10.1016/j.eswa.2025.128350</x:v>
      </x:c>
      <x:c r="W75" s="13"/>
      <x:c r="X75" s="17" t="str"/>
      <x:c r="Y75" s="7" t="str">
        <x:v>研究／方法</x:v>
      </x:c>
    </x:row>
    <x:row r="76" ht="40" customHeight="1">
      <x:c r="A76" s="7" t="str">
        <x:v>O49</x:v>
      </x:c>
      <x:c r="B76" s="7" t="str">
        <x:v>3.2 动态任务与多资源联合调度</x:v>
      </x:c>
      <x:c r="C76" s="7" t="str">
        <x:v>无额外章节</x:v>
      </x:c>
      <x:c r="D76" s="7" t="str">
        <x:v>Q15、Q09</x:v>
      </x:c>
      <x:c r="E76" s="7" t="str">
        <x:v>如何由各星自主报价并消除重复任务分配？</x:v>
      </x:c>
      <x:c r="F76" s="7" t="str">
        <x:v>CBBA-based Decentralized Task Allocation Framework for Multiple Observation Satellites</x:v>
      </x:c>
      <x:c r="G76" s="7" t="str">
        <x:v>面向多观测卫星的基于 CBBA 的分散式任务分配框架</x:v>
      </x:c>
      <x:c r="H76" s="14" t="str">
        <x:v>10.1016/j.ifacol.2026.01.054</x:v>
      </x:c>
      <x:c r="I76" s="12" t="n">
        <x:v>2025</x:v>
      </x:c>
      <x:c r="J76" s="7" t="str">
        <x:v>IFAC-PapersOnLine</x:v>
      </x:c>
      <x:c r="K76" s="7" t="str">
        <x:v>各星按优先级、请求时刻与成像角度评估，迭代一致性和任务束调整。</x:v>
      </x:c>
      <x:c r="L76" s="7" t="str">
        <x:v>任务优先级、成像时刻、观测角度。</x:v>
      </x:c>
      <x:c r="M76" s="7" t="str">
        <x:v>会议论文摘要报告任务覆盖与分配仿真。</x:v>
      </x:c>
      <x:c r="N76" s="7" t="str">
        <x:v>出版社公开摘要。</x:v>
      </x:c>
      <x:c r="O76" s="7" t="str">
        <x:v>沿用前轮提取；待完整全文核查</x:v>
      </x:c>
      <x:c r="P76" s="7" t="str">
        <x:v>尚无经全文核查的精确页码、章节或图表位置。</x:v>
      </x:c>
      <x:c r="Q76" s="7" t="str">
        <x:v>CBBA 在卫星具体任务中的应用范例。</x:v>
      </x:c>
      <x:c r="R76" s="7" t="str">
        <x:v>conflict-free 指任务分配冲突消除，不能解释为航天器碰撞规避。
出版社及 Crossref 卷期标 2025，DOI 含 2026；在线与卷期差异待最终引用核对。</x:v>
      </x:c>
      <x:c r="S76" s="7" t="str">
        <x:v>第二轮专题精读</x:v>
      </x:c>
      <x:c r="T76" s="7" t="str">
        <x:v>提取分解、算法作用位置、可行性检查、信息交换、网络异常、理论前提和训练／在线总成本。</x:v>
      </x:c>
      <x:c r="U76" s="16" t="str"/>
      <x:c r="V76" s="7" t="str">
        <x:v>https://www.sciencedirect.com/science/article/pii/S2405896326000613
https://doi.org/10.1016/j.ifacol.2026.01.054</x:v>
      </x:c>
      <x:c r="W76" s="13"/>
      <x:c r="X76" s="17" t="str"/>
      <x:c r="Y76" s="7" t="str">
        <x:v>研究／方法</x:v>
      </x:c>
    </x:row>
    <x:row r="77" ht="40" customHeight="1">
      <x:c r="A77" s="7" t="str">
        <x:v>O50</x:v>
      </x:c>
      <x:c r="B77" s="7" t="str">
        <x:v>3.2 动态任务与多资源联合调度</x:v>
      </x:c>
      <x:c r="C77" s="7" t="str">
        <x:v>无额外章节</x:v>
      </x:c>
      <x:c r="D77" s="7" t="str">
        <x:v>Q15、Q09</x:v>
      </x:c>
      <x:c r="E77" s="7" t="str">
        <x:v>如何结合学习、显式冲突消解和增量重规划？</x:v>
      </x:c>
      <x:c r="F77" s="7" t="str">
        <x:v>Research on Dynamic Task Planning for Multi-Satellite Cooperative Observation Based on MADDPG</x:v>
      </x:c>
      <x:c r="G77" s="7" t="str">
        <x:v>基于 MADDPG 的多卫星协同观测动态任务规划研究</x:v>
      </x:c>
      <x:c r="H77" s="14" t="str">
        <x:v>10.1007/s42401-026-00516-8</x:v>
      </x:c>
      <x:c r="I77" s="12" t="n">
        <x:v>2026</x:v>
      </x:c>
      <x:c r="J77" s="7" t="str">
        <x:v>Aerospace Systems</x:v>
      </x:c>
      <x:c r="K77" s="7" t="str">
        <x:v>POMDP、注意力 IM-MADDPG 与集中训练分散执行，加入市场报价和事件／周期混合重规划。</x:v>
      </x:c>
      <x:c r="L77" s="7" t="str">
        <x:v>可见时间、姿态转动、电量、存储和通信带宽。</x:v>
      </x:c>
      <x:c r="M77" s="7" t="str">
        <x:v>STK 与 Python 仿真、算法对照与模块消融。</x:v>
      </x:c>
      <x:c r="N77" s="7" t="str">
        <x:v>出版社公开全文第 2—5 节；表 7 独立页面本轮未取得。</x:v>
      </x:c>
      <x:c r="O77" s="7" t="str">
        <x:v>沿用前轮提取；待完整全文核查</x:v>
      </x:c>
      <x:c r="P77" s="7" t="str">
        <x:v>尚无经全文核查的精确页码、章节或图表位置。</x:v>
      </x:c>
      <x:c r="Q77" s="7" t="str">
        <x:v>把协商、学习和重规划拆成模块比较，并核查真实约束是否只以奖励惩罚处理。</x:v>
      </x:c>
      <x:c r="R77" s="7" t="str">
        <x:v>作者明确说明百星规模训练更困难，传感器噪声与通信环境未充分复现；不直接适用于 SAR 条带或 GEO 持续凝视。
2026-08-28 在线。摘要的大规模措辞不能代替实际星数。</x:v>
      </x:c>
      <x:c r="S77" s="7" t="str">
        <x:v>第二轮专题精读</x:v>
      </x:c>
      <x:c r="T77" s="7" t="str">
        <x:v>提取分解、算法作用位置、可行性检查、信息交换、网络异常、理论前提和训练／在线总成本。</x:v>
      </x:c>
      <x:c r="U77" s="16" t="str"/>
      <x:c r="V77" s="7" t="str">
        <x:v>https://link.springer.com/article/10.1007/s42401-026-00516-8
https://doi.org/10.1007/s42401-026-00516-8</x:v>
      </x:c>
      <x:c r="W77" s="13"/>
      <x:c r="X77" s="17" t="str"/>
      <x:c r="Y77" s="7" t="str">
        <x:v>研究／方法</x:v>
      </x:c>
    </x:row>
    <x:row r="78" ht="40" customHeight="1">
      <x:c r="A78" s="7" t="str">
        <x:v>O51</x:v>
      </x:c>
      <x:c r="B78" s="7" t="str">
        <x:v>3.2 动态任务与多资源联合调度</x:v>
      </x:c>
      <x:c r="C78" s="7" t="str">
        <x:v>2 系统框架与问题建模
3.4 跨层耦合与闭环协同</x:v>
      </x:c>
      <x:c r="D78" s="7" t="str">
        <x:v>Q15、Q10、Q02、Q21</x:v>
      </x:c>
      <x:c r="E78" s="7" t="str">
        <x:v>任务突发和卫星随机故障时，哪种协调机制更有效？</x:v>
      </x:c>
      <x:c r="F78" s="7" t="str">
        <x:v>Onboard coordination and scheduling of multiple autonomous satellites in an uncertain environment</x:v>
      </x:c>
      <x:c r="G78" s="7" t="str">
        <x:v>不确定环境下多自主卫星的星上协调与调度</x:v>
      </x:c>
      <x:c r="H78" s="14" t="str">
        <x:v>10.1016/j.asr.2021.09.003</x:v>
      </x:c>
      <x:c r="I78" s="12" t="n">
        <x:v>2021</x:v>
      </x:c>
      <x:c r="J78" s="7" t="str">
        <x:v>Advances in Space Research</x:v>
      </x:c>
      <x:c r="K78" s="7" t="str">
        <x:v>动态分布式组织。改进合同网 ICNP 与黑板模型 BM 协商，混合触发滚动规划配合自适应规则。</x:v>
      </x:c>
      <x:c r="L78" s="7" t="str">
        <x:v>实时星间链路、任务资源与故障情景。</x:v>
      </x:c>
      <x:c r="M78" s="7" t="str">
        <x:v>比较收益、通信成本、故障时任务损失和失败次数。</x:v>
      </x:c>
      <x:c r="N78" s="7" t="str">
        <x:v>出版社论文摘要与公开引用中的方法片段，模型及实验全文待读。</x:v>
      </x:c>
      <x:c r="O78" s="7" t="str">
        <x:v>沿用前轮提取；待完整全文核查</x:v>
      </x:c>
      <x:c r="P78" s="7" t="str">
        <x:v>尚无经全文核查的精确页码、章节或图表位置。</x:v>
      </x:c>
      <x:c r="Q78" s="7" t="str">
        <x:v>连接系统管理、任务调度和故障恢复。</x:v>
      </x:c>
      <x:c r="R78" s="7" t="str">
        <x:v>故障仿真中的协调鲁棒性不等于姿轨控制或软件容错的鲁棒性。
2021-12 期刊；相关 2018 SpaceOps 会议稿保留为版本线索，不重复列主表。</x:v>
      </x:c>
      <x:c r="S78" s="7" t="str">
        <x:v>第二轮专题精读</x:v>
      </x:c>
      <x:c r="T78" s="7" t="str">
        <x:v>提取节点／代理定义、状态与任务数据、规划触发、执行接口、人工监督、故障检测及恢复动作。</x:v>
      </x:c>
      <x:c r="U78" s="16" t="str"/>
      <x:c r="V78" s="7" t="str">
        <x:v>https://www.sciencedirect.com/science/article/pii/S0273117721006955
https://doi.org/10.1016/j.asr.2021.09.003</x:v>
      </x:c>
      <x:c r="W78" s="13"/>
      <x:c r="X78" s="17" t="str"/>
      <x:c r="Y78" s="7" t="str">
        <x:v>研究／方法</x:v>
      </x:c>
    </x:row>
    <x:row r="79" ht="40" customHeight="1">
      <x:c r="A79" s="7" t="str">
        <x:v>O66</x:v>
      </x:c>
      <x:c r="B79" s="7" t="str">
        <x:v>3.2 动态任务与多资源联合调度</x:v>
      </x:c>
      <x:c r="C79" s="7" t="str">
        <x:v>无额外章节</x:v>
      </x:c>
      <x:c r="D79" s="7" t="str">
        <x:v>Q10、Q09</x:v>
      </x:c>
      <x:c r="E79" s="7" t="str">
        <x:v>如何在计划制定时考虑云遮导致的观测失败？</x:v>
      </x:c>
      <x:c r="F79" s="7" t="str">
        <x:v>A pure proactive scheduling algorithm for multiple earth observation satellites under uncertainties of clouds</x:v>
      </x:c>
      <x:c r="G79" s="7" t="str">
        <x:v>云层不确定条件下多颗对地观测卫星的纯主动式调度算法</x:v>
      </x:c>
      <x:c r="H79" s="14" t="str">
        <x:v>10.1016/j.cor.2016.04.014</x:v>
      </x:c>
      <x:c r="I79" s="12" t="n">
        <x:v>2016</x:v>
      </x:c>
      <x:c r="J79" s="7" t="str">
        <x:v>Computers &amp; Operations Research</x:v>
      </x:c>
      <x:c r="K79" s="7" t="str">
        <x:v>禁止序列分配建模、机会约束与样本近似；ILP分支切割及惰性约束。</x:v>
      </x:c>
      <x:c r="L79" s="7" t="str">
        <x:v>观测序列可行性与云遮不确定性；风险参数与云模型。</x:v>
      </x:c>
      <x:c r="M79" s="7" t="str">
        <x:v>优化模型与数值实验。</x:v>
      </x:c>
      <x:c r="N79" s="7" t="str">
        <x:v>出版社摘要与模型概述</x:v>
      </x:c>
      <x:c r="O79" s="7" t="str">
        <x:v>沿用前轮提取；待完整全文核查</x:v>
      </x:c>
      <x:c r="P79" s="7" t="str">
        <x:v>尚无经全文核查的精确页码、章节或图表位置。</x:v>
      </x:c>
      <x:c r="Q79" s="7" t="str">
        <x:v>补齐随机规划，避免综述中把动态任务处理全部归入强化学习。</x:v>
      </x:c>
      <x:c r="R79" s="7" t="str">
        <x:v>主动预规划与观测后在线修复不同；机会约束保证依赖概率模型和样本近似。
2016年正式期刊论文。</x:v>
      </x:c>
      <x:c r="S79" s="7" t="str">
        <x:v>第二轮专题精读</x:v>
      </x:c>
      <x:c r="T79" s="7" t="str">
        <x:v>提取变量、任务链、目标、窗口、资源动态与不确定性；确认收益是否需要实际完成或交付。</x:v>
      </x:c>
      <x:c r="U79" s="16" t="str"/>
      <x:c r="V79" s="7" t="str">
        <x:v>https://www.sciencedirect.com/science/article/pii/S0305054816300843
https://doi.org/10.1016/j.cor.2016.04.014</x:v>
      </x:c>
      <x:c r="W79" s="13"/>
      <x:c r="X79" s="17" t="str"/>
      <x:c r="Y79" s="7" t="str">
        <x:v>研究／方法</x:v>
      </x:c>
    </x:row>
    <x:row r="80" ht="40" customHeight="1">
      <x:c r="A80" s="7" t="str">
        <x:v>O67</x:v>
      </x:c>
      <x:c r="B80" s="7" t="str">
        <x:v>3.2 动态任务与多资源联合调度</x:v>
      </x:c>
      <x:c r="C80" s="7" t="str">
        <x:v>无额外章节</x:v>
      </x:c>
      <x:c r="D80" s="7" t="str">
        <x:v>Q10、Q09</x:v>
      </x:c>
      <x:c r="E80" s="7" t="str">
        <x:v>云覆盖估计不准确时，如何保持任务收益的鲁棒性？</x:v>
      </x:c>
      <x:c r="F80" s="7" t="str">
        <x:v>Robust Earth Observation Satellite Scheduling With Uncertainty of Cloud Coverage</x:v>
      </x:c>
      <x:c r="G80" s="7" t="str">
        <x:v>云覆盖不确定性下的鲁棒对地观测卫星调度</x:v>
      </x:c>
      <x:c r="H80" s="14" t="str">
        <x:v>10.1109/TAES.2019.2947978</x:v>
      </x:c>
      <x:c r="I80" s="12" t="n">
        <x:v>2020</x:v>
      </x:c>
      <x:c r="J80" s="7" t="str">
        <x:v>IEEE Transactions on Aerospace and Electronic Systems</x:v>
      </x:c>
      <x:c r="K80" s="7" t="str">
        <x:v>预算不确定集的线性鲁棒建模与列生成启发式，以轨道相关调度方案构造列。</x:v>
      </x:c>
      <x:c r="L80" s="7" t="str">
        <x:v>云覆盖不确定集、任务时窗和资源可行性；完整集合定义待提取。</x:v>
      </x:c>
      <x:c r="M80" s="7" t="str">
        <x:v>包含中国对地观测星座背景的数值实验。</x:v>
      </x:c>
      <x:c r="N80" s="7" t="str">
        <x:v>IEEE出版社摘要</x:v>
      </x:c>
      <x:c r="O80" s="7" t="str">
        <x:v>沿用前轮提取；待完整全文核查</x:v>
      </x:c>
      <x:c r="P80" s="7" t="str">
        <x:v>尚无经全文核查的精确页码、章节或图表位置。</x:v>
      </x:c>
      <x:c r="Q80" s="7" t="str">
        <x:v>建立鲁棒优化与随机优化、风险感知学习之间的比较轴。</x:v>
      </x:c>
      <x:c r="R80" s="7" t="str">
        <x:v>鲁棒性限于所定义的不确定集；启发式结果与精确最优性须区分。
2019年在线，正式卷期2020。</x:v>
      </x:c>
      <x:c r="S80" s="7" t="str">
        <x:v>第二轮专题精读</x:v>
      </x:c>
      <x:c r="T80" s="7" t="str">
        <x:v>提取变量、任务链、目标、窗口、资源动态与不确定性；确认收益是否需要实际完成或交付。</x:v>
      </x:c>
      <x:c r="U80" s="16" t="str"/>
      <x:c r="V80" s="7" t="str">
        <x:v>https://ieeexplore.ieee.org/document/8883054/
https://doi.org/10.1109/TAES.2019.2947978</x:v>
      </x:c>
      <x:c r="W80" s="13"/>
      <x:c r="X80" s="17" t="str"/>
      <x:c r="Y80" s="7" t="str">
        <x:v>研究／方法</x:v>
      </x:c>
    </x:row>
    <x:row r="81" ht="40" customHeight="1">
      <x:c r="A81" s="7" t="str">
        <x:v>O68</x:v>
      </x:c>
      <x:c r="B81" s="7" t="str">
        <x:v>3.2 动态任务与多资源联合调度</x:v>
      </x:c>
      <x:c r="C81" s="7" t="str">
        <x:v>无额外章节</x:v>
      </x:c>
      <x:c r="D81" s="7" t="str">
        <x:v>Q10、Q09</x:v>
      </x:c>
      <x:c r="E81" s="7" t="str">
        <x:v>不同阶段获得云情报时，如何调整星座调度决策？</x:v>
      </x:c>
      <x:c r="F81" s="7" t="str">
        <x:v>Mixed-integer programming models for optimal constellation scheduling given cloud cover uncertainty</x:v>
      </x:c>
      <x:c r="G81" s="7" t="str">
        <x:v>考虑云覆盖不确定性的最优星座调度混合整数规划模型</x:v>
      </x:c>
      <x:c r="H81" s="14" t="str">
        <x:v>10.1016/j.ejor.2018.11.043</x:v>
      </x:c>
      <x:c r="I81" s="12" t="n">
        <x:v>2019</x:v>
      </x:c>
      <x:c r="J81" s="7" t="str">
        <x:v>European Journal of Operational Research</x:v>
      </x:c>
      <x:c r="K81" s="7" t="str">
        <x:v>确定性MIP及两阶段、三阶段随机MIP；预计算轨道和传感器机会。</x:v>
      </x:c>
      <x:c r="L81" s="7" t="str">
        <x:v>云情景、任务机会、序贯信息与决策阶段。</x:v>
      </x:c>
      <x:c r="M81" s="7" t="str">
        <x:v>多种混合整数模型及小规模计算实验。</x:v>
      </x:c>
      <x:c r="N81" s="7" t="str">
        <x:v>出版社摘要与实验规模说明</x:v>
      </x:c>
      <x:c r="O81" s="7" t="str">
        <x:v>沿用前轮提取；待完整全文核查</x:v>
      </x:c>
      <x:c r="P81" s="7" t="str">
        <x:v>尚无经全文核查的精确页码、章节或图表位置。</x:v>
      </x:c>
      <x:c r="Q81" s="7" t="str">
        <x:v>作为随机调度的可解释基准，展示规模与模型复杂度的权衡。</x:v>
      </x:c>
      <x:c r="R81" s="7" t="str">
        <x:v>小规模最优求解不是大型星座可扩展性证据；须记录情景数与总求解成本。
2019年正式期刊论文。</x:v>
      </x:c>
      <x:c r="S81" s="7" t="str">
        <x:v>第二轮专题精读</x:v>
      </x:c>
      <x:c r="T81" s="7" t="str">
        <x:v>提取变量、任务链、目标、窗口、资源动态与不确定性；确认收益是否需要实际完成或交付。</x:v>
      </x:c>
      <x:c r="U81" s="16" t="str"/>
      <x:c r="V81" s="7" t="str">
        <x:v>https://www.sciencedirect.com/science/article/pii/S0377221718309846
https://doi.org/10.1016/j.ejor.2018.11.043</x:v>
      </x:c>
      <x:c r="W81" s="13"/>
      <x:c r="X81" s="17" t="str"/>
      <x:c r="Y81" s="7" t="str">
        <x:v>研究／方法</x:v>
      </x:c>
    </x:row>
    <x:row r="82" ht="40" customHeight="1">
      <x:c r="A82" s="7" t="str">
        <x:v>O69</x:v>
      </x:c>
      <x:c r="B82" s="7" t="str">
        <x:v>3.2 动态任务与多资源联合调度</x:v>
      </x:c>
      <x:c r="C82" s="7" t="str">
        <x:v>无额外章节</x:v>
      </x:c>
      <x:c r="D82" s="7" t="str">
        <x:v>Q09、Q10</x:v>
      </x:c>
      <x:c r="E82" s="7" t="str">
        <x:v>如何学习长期调度价值，并在未知任务数据中快速决策？</x:v>
      </x:c>
      <x:c r="F82" s="7" t="str">
        <x:v>A Generic Markov Decision Process Model and Reinforcement Learning Method for Scheduling Agile Earth Observation Satellites</x:v>
      </x:c>
      <x:c r="G82" s="7" t="str">
        <x:v>用于敏捷对地观测卫星调度的通用马尔可夫决策过程模型与强化学习方法</x:v>
      </x:c>
      <x:c r="H82" s="14" t="str">
        <x:v>10.1109/TSMC.2020.3020732</x:v>
      </x:c>
      <x:c r="I82" s="12" t="n">
        <x:v>2022</x:v>
      </x:c>
      <x:c r="J82" s="7" t="str">
        <x:v>IEEE Transactions on Systems, Man, and Cybernetics: Systems</x:v>
      </x:c>
      <x:c r="K82" s="7" t="str">
        <x:v>连续状态、离散动作的有限MDP；Q-learning训练Q网络处理排序，构造式启发式处理定时。</x:v>
      </x:c>
      <x:c r="L82" s="7" t="str">
        <x:v>在环境中检查调度约束；奖励表示全程收益。具体资源模型待提取。</x:v>
      </x:c>
      <x:c r="M82" s="7" t="str">
        <x:v>训练后的未知数据实验；规模与数据划分待全文提取。</x:v>
      </x:c>
      <x:c r="N82" s="7" t="str">
        <x:v>IEEE出版社摘要</x:v>
      </x:c>
      <x:c r="O82" s="7" t="str">
        <x:v>沿用前轮提取；待完整全文核查</x:v>
      </x:c>
      <x:c r="P82" s="7" t="str">
        <x:v>尚无经全文核查的精确页码、章节或图表位置。</x:v>
      </x:c>
      <x:c r="Q82" s="7" t="str">
        <x:v>说明学习策略与约束检查器／传统启发式组合的混合决策结构。</x:v>
      </x:c>
      <x:c r="R82" s="7" t="str">
        <x:v>定时由启发式给出，Q学习表现不构成全局最优或跨任务类型无条件泛化。
2020年在线、2022年卷期；统一按2022年编目。</x:v>
      </x:c>
      <x:c r="S82" s="7" t="str">
        <x:v>第二轮专题精读</x:v>
      </x:c>
      <x:c r="T82" s="7" t="str">
        <x:v>提取分解、算法作用位置、可行性检查、信息交换、网络异常、理论前提和训练／在线总成本。</x:v>
      </x:c>
      <x:c r="U82" s="16" t="str"/>
      <x:c r="V82" s="7" t="str">
        <x:v>https://doi.org/10.1109/TSMC.2020.3020732</x:v>
      </x:c>
      <x:c r="W82" s="13"/>
      <x:c r="X82" s="17" t="str"/>
      <x:c r="Y82" s="7" t="str">
        <x:v>研究／方法</x:v>
      </x:c>
    </x:row>
    <x:row r="83" ht="40" customHeight="1">
      <x:c r="A83" s="7" t="str">
        <x:v>O71</x:v>
      </x:c>
      <x:c r="B83" s="7" t="str">
        <x:v>3.2 动态任务与多资源联合调度</x:v>
      </x:c>
      <x:c r="C83" s="7" t="str">
        <x:v>无额外章节</x:v>
      </x:c>
      <x:c r="D83" s="7" t="str">
        <x:v>Q10、Q15</x:v>
      </x:c>
      <x:c r="E83" s="7" t="str">
        <x:v>如何将云风险估计与任务重新分配的额外资源成本结合？</x:v>
      </x:c>
      <x:c r="F83" s="7" t="str">
        <x:v>Conformal-risk-aware decentralized task reallocation for agile Earth observation satellite scheduling under meteorological uncertainty</x:v>
      </x:c>
      <x:c r="G83" s="7" t="str">
        <x:v>气象不确定性下敏捷对地观测卫星调度的共形风险感知去中心化任务重分配</x:v>
      </x:c>
      <x:c r="H83" s="14" t="str">
        <x:v>10.1016/j.ast.2026.113895</x:v>
      </x:c>
      <x:c r="I83" s="12" t="n">
        <x:v>2026</x:v>
      </x:c>
      <x:c r="J83" s="7" t="str">
        <x:v>Aerospace Science and Technology</x:v>
      </x:c>
      <x:c r="K83" s="7" t="str">
        <x:v>自适应共形云风险上界、主动移出风险任务与去中心化重分配；考虑边际重配置成本。</x:v>
      </x:c>
      <x:c r="L83" s="7" t="str">
        <x:v>姿态、存储、热状态等任务准入成本；共形风险条件待全文提取。</x:v>
      </x:c>
      <x:c r="M83" s="7" t="str">
        <x:v>出版社摘要／Highlights；具体仿真实例待提取。</x:v>
      </x:c>
      <x:c r="N83" s="7" t="str">
        <x:v>出版社公开摘要与Highlights</x:v>
      </x:c>
      <x:c r="O83" s="7" t="str">
        <x:v>沿用前轮提取；待完整全文核查</x:v>
      </x:c>
      <x:c r="P83" s="7" t="str">
        <x:v>尚无经全文核查的精确页码、章节或图表位置。</x:v>
      </x:c>
      <x:c r="Q83" s="7" t="str">
        <x:v>连接预测风险、资源成本和在线协商，是跨主题交叉条目。</x:v>
      </x:c>
      <x:c r="R83" s="7" t="str">
        <x:v>风险界需要满足论文规定的统计条件；不能推断任意非平稳天气下均有无条件保证。
2026-09-25已在线；登记卷期为2027年1月。本轮按2026在线年纳入，不将未来卷期当作当前已出版。</x:v>
      </x:c>
      <x:c r="S83" s="7" t="str">
        <x:v>第二轮专题精读</x:v>
      </x:c>
      <x:c r="T83" s="7" t="str">
        <x:v>提取变量、任务链、目标、窗口、资源动态与不确定性；确认收益是否需要实际完成或交付。</x:v>
      </x:c>
      <x:c r="U83" s="16" t="str"/>
      <x:c r="V83" s="7" t="str">
        <x:v>https://www.sciencedirect.com/science/article/pii/S1270963826022716
https://doi.org/10.1016/j.ast.2026.113895</x:v>
      </x:c>
      <x:c r="W83" s="13"/>
      <x:c r="X83" s="17" t="str"/>
      <x:c r="Y83" s="7" t="str">
        <x:v>研究／方法</x:v>
      </x:c>
    </x:row>
    <x:row r="84" ht="40" customHeight="1">
      <x:c r="A84" s="7" t="str">
        <x:v>O72</x:v>
      </x:c>
      <x:c r="B84" s="7" t="str">
        <x:v>3.2 动态任务与多资源联合调度</x:v>
      </x:c>
      <x:c r="C84" s="7" t="str">
        <x:v>无额外章节</x:v>
      </x:c>
      <x:c r="D84" s="7" t="str">
        <x:v>Q12、Q11</x:v>
      </x:c>
      <x:c r="E84" s="7" t="str">
        <x:v>如何协调通信窗口、星上能量与数据库存，以增加下传收益？</x:v>
      </x:c>
      <x:c r="F84" s="7" t="str">
        <x:v>Optimization-based scheduling for the single-satellite, multi-ground station communication problem</x:v>
      </x:c>
      <x:c r="G84" s="7" t="str">
        <x:v>单卫星—多地面站通信问题的优化调度</x:v>
      </x:c>
      <x:c r="H84" s="14" t="str">
        <x:v>10.1016/j.cor.2014.11.004</x:v>
      </x:c>
      <x:c r="I84" s="12" t="n">
        <x:v>2015</x:v>
      </x:c>
      <x:c r="J84" s="7" t="str">
        <x:v>Computers &amp; Operations Research</x:v>
      </x:c>
      <x:c r="K84" s="7" t="str">
        <x:v>优化调度与欠约束MIP，再通过后处理构造可行方案。</x:v>
      </x:c>
      <x:c r="L84" s="7" t="str">
        <x:v>通信窗口、星上能量和数据动态；模型松弛与后处理的约束区别。</x:v>
      </x:c>
      <x:c r="M84" s="7" t="str">
        <x:v>模型与计算实验。</x:v>
      </x:c>
      <x:c r="N84" s="7" t="str">
        <x:v>出版社摘要与建模说明</x:v>
      </x:c>
      <x:c r="O84" s="7" t="str">
        <x:v>沿用前轮提取；待完整全文核查</x:v>
      </x:c>
      <x:c r="P84" s="7" t="str">
        <x:v>尚无经全文核查的精确页码、章节或图表位置。</x:v>
      </x:c>
      <x:c r="Q84" s="7" t="str">
        <x:v>连接任务产生数据与测控／下传资源，说明候选解和执行方案之间的差别。</x:v>
      </x:c>
      <x:c r="R84" s="7" t="str">
        <x:v>欠约束模型的每个解不自动满足完整运行约束，必须检查后处理可行性。
2014年在线、2015年卷期。</x:v>
      </x:c>
      <x:c r="S84" s="7" t="str">
        <x:v>第二轮专题精读</x:v>
      </x:c>
      <x:c r="T84" s="7" t="str">
        <x:v>提取变量、任务链、目标、窗口、资源动态与不确定性；确认收益是否需要实际完成或交付。</x:v>
      </x:c>
      <x:c r="U84" s="16" t="str"/>
      <x:c r="V84" s="7" t="str">
        <x:v>https://www.sciencedirect.com/science/article/pii/S0305054814002809
https://doi.org/10.1016/j.cor.2014.11.004</x:v>
      </x:c>
      <x:c r="W84" s="13"/>
      <x:c r="X84" s="17" t="str"/>
      <x:c r="Y84" s="7" t="str">
        <x:v>研究／方法</x:v>
      </x:c>
    </x:row>
    <x:row r="85" ht="38" customHeight="1">
      <x:c r="A85" s="7" t="str">
        <x:v>O77</x:v>
      </x:c>
      <x:c r="B85" s="7" t="str">
        <x:v>3.2 动态任务与多资源联合调度</x:v>
      </x:c>
      <x:c r="C85" s="7" t="str">
        <x:v>无额外章节</x:v>
      </x:c>
      <x:c r="D85" s="7" t="str">
        <x:v>Q12、Q11</x:v>
      </x:c>
      <x:c r="E85" s="7" t="str">
        <x:v>下传成为瓶颈时，如何生成符合工程约束的数据传输计划？</x:v>
      </x:c>
      <x:c r="F85" s="7" t="str">
        <x:v>Satellite downlink scheduling problem: A case study</x:v>
      </x:c>
      <x:c r="G85" s="7" t="str">
        <x:v>卫星下传调度问题：一个案例研究</x:v>
      </x:c>
      <x:c r="H85" s="14" t="str">
        <x:v>10.1016/j.omega.2015.01.001</x:v>
      </x:c>
      <x:c r="I85" s="12" t="n">
        <x:v>2015</x:v>
      </x:c>
      <x:c r="J85" s="7" t="str">
        <x:v>Omega</x:v>
      </x:c>
      <x:c r="K85" s="7" t="str">
        <x:v>调度生成过程将复杂约束封装为启发式接口，并比较元启发式。</x:v>
      </x:c>
      <x:c r="L85" s="7" t="str">
        <x:v>数据下传资源与工程规则；具体缓冲区与天线限制待提取。</x:v>
      </x:c>
      <x:c r="M85" s="7" t="str">
        <x:v>RADARSAT-2案例与方法比较。</x:v>
      </x:c>
      <x:c r="N85" s="7" t="str">
        <x:v>作者机构公开稿</x:v>
      </x:c>
      <x:c r="O85" s="7" t="str">
        <x:v>沿用前轮提取；待完整全文核查</x:v>
      </x:c>
      <x:c r="P85" s="7" t="str">
        <x:v>尚无经全文核查的精确页码、章节或图表位置。</x:v>
      </x:c>
      <x:c r="Q85" s="7" t="str">
        <x:v>提醒综述区分观测收益与可交付数据收益，并记录真实任务瓶颈。</x:v>
      </x:c>
      <x:c r="R85" s="7" t="str">
        <x:v>特定系统案例；需要分开调度生成器的可行性与外层算法的收益。
预印本与2015年Omega正式版合并。</x:v>
      </x:c>
      <x:c r="S85" s="7" t="str">
        <x:v>第二轮专题精读</x:v>
      </x:c>
      <x:c r="T85" s="7" t="str">
        <x:v>提取变量、任务链、目标、窗口、资源动态与不确定性；确认收益是否需要实际完成或交付。</x:v>
      </x:c>
      <x:c r="U85" s="16" t="str"/>
      <x:c r="V85" s="7" t="str">
        <x:v>https://repository.essex.ac.uk/17381/1/1206.5503v3.pdf
https://doi.org/10.1016/j.omega.2015.01.001</x:v>
      </x:c>
      <x:c r="W85" s="13"/>
      <x:c r="X85" s="17" t="str"/>
      <x:c r="Y85" s="7" t="str">
        <x:v>研究／方法</x:v>
      </x:c>
    </x:row>
    <x:row r="86" ht="40" customHeight="1">
      <x:c r="A86" s="7" t="str">
        <x:v>O91</x:v>
      </x:c>
      <x:c r="B86" s="7" t="str">
        <x:v>3.2 动态任务与多资源联合调度</x:v>
      </x:c>
      <x:c r="C86" s="7" t="str">
        <x:v>无额外章节</x:v>
      </x:c>
      <x:c r="D86" s="7" t="str">
        <x:v>Q15、Q09</x:v>
      </x:c>
      <x:c r="E86" s="7" t="str">
        <x:v>用户不愿公开全部观测请求时，如何完成分布式调度？</x:v>
      </x:c>
      <x:c r="F86" s="7" t="str">
        <x:v>Scheduling of Earth observing satellites using distributed constraint optimization</x:v>
      </x:c>
      <x:c r="G86" s="7" t="str">
        <x:v>采用分布式约束优化的对地观测卫星调度</x:v>
      </x:c>
      <x:c r="H86" s="14" t="str">
        <x:v>10.1007/s10951-024-00816-x</x:v>
      </x:c>
      <x:c r="I86" s="12" t="n">
        <x:v>2024</x:v>
      </x:c>
      <x:c r="J86" s="7" t="str">
        <x:v>Journal of Scheduling</x:v>
      </x:c>
      <x:c r="K86" s="7" t="str">
        <x:v>DCOP模型；DSTS中的DSA／MGM局部搜索，与集中调度方法比较。</x:v>
      </x:c>
      <x:c r="L86" s="7" t="str">
        <x:v>用户请求的先验私有性、任务时窗与冲突；通信机制待提取。</x:v>
      </x:c>
      <x:c r="M86" s="7" t="str">
        <x:v>分布式与集中式算法的计算比较。</x:v>
      </x:c>
      <x:c r="N86" s="7" t="str">
        <x:v>出版社公开全文的模型与方法概述</x:v>
      </x:c>
      <x:c r="O86" s="7" t="str">
        <x:v>沿用前轮提取；待完整全文核查</x:v>
      </x:c>
      <x:c r="P86" s="7" t="str">
        <x:v>尚无经全文核查的精确页码、章节或图表位置。</x:v>
      </x:c>
      <x:c r="Q86" s="7" t="str">
        <x:v>将协同单位从卫星扩展到用户，并增添隐私与信息结构比较。</x:v>
      </x:c>
      <x:c r="R86" s="7" t="str">
        <x:v>代理主要对应用户，非必然对应星上处理器；私有请求机制不等于密码学安全保证。
2024年正式期刊论文。</x:v>
      </x:c>
      <x:c r="S86" s="7" t="str">
        <x:v>第二轮专题精读</x:v>
      </x:c>
      <x:c r="T86" s="7" t="str">
        <x:v>提取分解、算法作用位置、可行性检查、信息交换、网络异常、理论前提和训练／在线总成本。</x:v>
      </x:c>
      <x:c r="U86" s="16" t="str"/>
      <x:c r="V86" s="7" t="str">
        <x:v>https://link.springer.com/article/10.1007/s10951-024-00816-x
https://doi.org/10.1007/s10951-024-00816-x</x:v>
      </x:c>
      <x:c r="W86" s="13"/>
      <x:c r="X86" s="17" t="str"/>
      <x:c r="Y86" s="7" t="str">
        <x:v>研究／方法</x:v>
      </x:c>
    </x:row>
    <x:row r="87" ht="40" customHeight="1">
      <x:c r="A87" s="7" t="str">
        <x:v>O94</x:v>
      </x:c>
      <x:c r="B87" s="7" t="str">
        <x:v>3.2 动态任务与多资源联合调度</x:v>
      </x:c>
      <x:c r="C87" s="7" t="str">
        <x:v>无额外章节</x:v>
      </x:c>
      <x:c r="D87" s="7" t="str">
        <x:v>Q15</x:v>
      </x:c>
      <x:c r="E87" s="7" t="str">
        <x:v>如何减少合同网的重复协商，并提高紧急任务响应？</x:v>
      </x:c>
      <x:c r="F87" s="7" t="str">
        <x:v>An Improvement of Contract Net Protocol for Distributed Satellite Collaborative Task Planning</x:v>
      </x:c>
      <x:c r="G87" s="7" t="str">
        <x:v>面向分布式卫星协同任务规划的合同网协议改进</x:v>
      </x:c>
      <x:c r="H87" s="14" t="str">
        <x:v>10.1155/ijae/5536856</x:v>
      </x:c>
      <x:c r="I87" s="12" t="n">
        <x:v>2026</x:v>
      </x:c>
      <x:c r="J87" s="7" t="str">
        <x:v>International Journal of Aerospace Engineering</x:v>
      </x:c>
      <x:c r="K87" s="7" t="str">
        <x:v>利用优势任务减少冗余协商，多任务一次竞价与批量上传。</x:v>
      </x:c>
      <x:c r="L87" s="7" t="str">
        <x:v>协商通信、任务分配与应急处理；完整资源及网络假设待提取。</x:v>
      </x:c>
      <x:c r="M87" s="7" t="str">
        <x:v>改进协议与模拟比较；场景规模待提取。</x:v>
      </x:c>
      <x:c r="N87" s="7" t="str">
        <x:v>Wiley出版社摘要</x:v>
      </x:c>
      <x:c r="O87" s="7" t="str">
        <x:v>沿用前轮提取；待完整全文核查</x:v>
      </x:c>
      <x:c r="P87" s="7" t="str">
        <x:v>尚无经全文核查的精确页码、章节或图表位置。</x:v>
      </x:c>
      <x:c r="Q87" s="7" t="str">
        <x:v>补充协议设计的通信开销维度，与优化收益同时比较。</x:v>
      </x:c>
      <x:c r="R87" s="7" t="str">
        <x:v>降低消息数量不自动代表时延、丢包或异步网络下具有保证。
2026-02-03正式发表。</x:v>
      </x:c>
      <x:c r="S87" s="7" t="str">
        <x:v>第二轮专题精读</x:v>
      </x:c>
      <x:c r="T87" s="7" t="str">
        <x:v>提取分解、算法作用位置、可行性检查、信息交换、网络异常、理论前提和训练／在线总成本。</x:v>
      </x:c>
      <x:c r="U87" s="16" t="str"/>
      <x:c r="V87" s="7" t="str">
        <x:v>https://onlinelibrary.wiley.com/doi/10.1155/ijae/5536856
https://doi.org/10.1155/ijae/5536856</x:v>
      </x:c>
      <x:c r="W87" s="13"/>
      <x:c r="X87" s="17" t="str"/>
      <x:c r="Y87" s="7" t="str">
        <x:v>研究／方法</x:v>
      </x:c>
    </x:row>
    <x:row r="88" ht="40" customHeight="1">
      <x:c r="A88" s="7" t="str">
        <x:v>O102</x:v>
      </x:c>
      <x:c r="B88" s="7" t="str">
        <x:v>3.2 动态任务与多资源联合调度</x:v>
      </x:c>
      <x:c r="C88" s="7" t="str">
        <x:v>4 综合评价与研究展望</x:v>
      </x:c>
      <x:c r="D88" s="7" t="str">
        <x:v>Q14、Q09、Q22</x:v>
      </x:c>
      <x:c r="E88" s="7" t="str">
        <x:v>如何统一表示任务、资源和协同约束，并支持在轨指令生成？</x:v>
      </x:c>
      <x:c r="F88" s="7" t="str">
        <x:v>Standard modeling and solving methods for large-scale constellation collaborative scheduling for early warning scenarios</x:v>
      </x:c>
      <x:c r="G88" s="7" t="str">
        <x:v>面向预警场景的大规模星座协同调度标准建模与求解方法</x:v>
      </x:c>
      <x:c r="H88" s="14" t="str">
        <x:v>10.7527/S1000-6893.2024.30181</x:v>
      </x:c>
      <x:c r="I88" s="12" t="n">
        <x:v>2024</x:v>
      </x:c>
      <x:c r="J88" s="7" t="str">
        <x:v>航空学报 / Acta Aeronautica et Astronautica Sinica</x:v>
      </x:c>
      <x:c r="K88" s="7" t="str">
        <x:v>任务预处理—统一建模—规范求解—指令生成；CSA-ICNP，模糊寻优与局部搜索。</x:v>
      </x:c>
      <x:c r="L88" s="7" t="str">
        <x:v>传感器视场、目标访问和多节点协作；完整指令执行验证待提取。</x:v>
      </x:c>
      <x:c r="M88" s="7" t="str">
        <x:v>仿真算例与五类算法比较。</x:v>
      </x:c>
      <x:c r="N88" s="7" t="str">
        <x:v>期刊官网中英文题名、作者、DOI与表3</x:v>
      </x:c>
      <x:c r="O88" s="7" t="str">
        <x:v>沿用前轮提取；待完整全文核查</x:v>
      </x:c>
      <x:c r="P88" s="7" t="str">
        <x:v>尚无经全文核查的精确页码、章节或图表位置。</x:v>
      </x:c>
      <x:c r="Q88" s="7" t="str">
        <x:v>补充中文研究与规范化运行链条，适合架构和规模比较。</x:v>
      </x:c>
      <x:c r="R88" s="7" t="str">
        <x:v>题名的大规模不表示千星实验；对比算法中的最好结果不是全局最优证明。
Crossref本轮未取得；DOI解析HTTP 200到期刊官网，卷期2024-11-25。</x:v>
      </x:c>
      <x:c r="S88" s="7" t="str">
        <x:v>第二轮专题精读</x:v>
      </x:c>
      <x:c r="T88" s="7" t="str">
        <x:v>提取节点／代理定义、状态与任务数据、规划触发、执行接口、人工监督、故障检测及恢复动作。</x:v>
      </x:c>
      <x:c r="U88" s="16" t="str"/>
      <x:c r="V88" s="7" t="str">
        <x:v>https://hkxb.buaa.edu.cn/CN/Y2024/V45/I22/330181
https://www.sciopen.com/article/10.7527/S1000-6893.2024.30181
https://doi.org/10.7527/S1000-6893.2024.30181</x:v>
      </x:c>
      <x:c r="W88" s="13"/>
      <x:c r="X88" s="17" t="str"/>
      <x:c r="Y88" s="7" t="str">
        <x:v>研究／方法</x:v>
      </x:c>
    </x:row>
    <x:row r="89" ht="40" customHeight="1">
      <x:c r="A89" s="7" t="str">
        <x:v>O103</x:v>
      </x:c>
      <x:c r="B89" s="7" t="str">
        <x:v>3.2 动态任务与多资源联合调度</x:v>
      </x:c>
      <x:c r="C89" s="7" t="str">
        <x:v>4 综合评价与研究展望</x:v>
      </x:c>
      <x:c r="D89" s="7" t="str">
        <x:v>Q09、Q22</x:v>
      </x:c>
      <x:c r="E89" s="7" t="str">
        <x:v>贪心主评分近似相等时，怎样用冲突信息改善后续调度空间？</x:v>
      </x:c>
      <x:c r="F89" s="7" t="str">
        <x:v>Threshold-Gated Conflict-Aware Arc Selection for Satellite Task Scheduling: Evidence from Starlink Mega-Constellation Simulations</x:v>
      </x:c>
      <x:c r="G89" s="7" t="str">
        <x:v>卫星任务调度的阈值门控冲突感知弧段选择：Starlink巨型星座仿真证据</x:v>
      </x:c>
      <x:c r="H89" s="14" t="str">
        <x:v>10.3390/aerospace13090830</x:v>
      </x:c>
      <x:c r="I89" s="12" t="n">
        <x:v>2026</x:v>
      </x:c>
      <x:c r="J89" s="7" t="str">
        <x:v>Aerospace</x:v>
      </x:c>
      <x:c r="K89" s="7" t="str">
        <x:v>FAMAS-G单遍阈值门控：仅在主评分无法明显区分时使用有界冲突修正。</x:v>
      </x:c>
      <x:c r="L89" s="7" t="str">
        <x:v>预计算弧段冲突度；无消息传递、回溯或迭代搜索。</x:v>
      </x:c>
      <x:c r="M89" s="7" t="str">
        <x:v>静态调度仿真、消融和分层bootstrap；最大规模显著性对历元选取敏感。</x:v>
      </x:c>
      <x:c r="N89" s="7" t="str">
        <x:v>出版社登记摘要与公开限制说明</x:v>
      </x:c>
      <x:c r="O89" s="7" t="str">
        <x:v>沿用前轮提取；待完整全文核查</x:v>
      </x:c>
      <x:c r="P89" s="7" t="str">
        <x:v>尚无经全文核查的精确页码、章节或图表位置。</x:v>
      </x:c>
      <x:c r="Q89" s="7" t="str">
        <x:v>增加轻量基线、负向消融与统计稳定性证据。</x:v>
      </x:c>
      <x:c r="R89" s="7" t="str">
        <x:v>TLE对象数不等于实际参与任务的卫星数或在役数量；合成任务不证明Starlink具有观测载荷；未测试动态恢复。
2026-09-11发表；轨道目录规模、任务规模与决策参与规模需分开。</x:v>
      </x:c>
      <x:c r="S89" s="7" t="str">
        <x:v>第二轮专题精读</x:v>
      </x:c>
      <x:c r="T89" s="7" t="str">
        <x:v>提取分解、算法作用位置、可行性检查、信息交换、网络异常、理论前提和训练／在线总成本。</x:v>
      </x:c>
      <x:c r="U89" s="16" t="str"/>
      <x:c r="V89" s="7" t="str">
        <x:v>https://www.mdpi.com/2226-4310/13/9/830
https://doi.org/10.3390/aerospace13090830</x:v>
      </x:c>
      <x:c r="W89" s="13"/>
      <x:c r="X89" s="17" t="str"/>
      <x:c r="Y89" s="7" t="str">
        <x:v>研究／方法</x:v>
      </x:c>
    </x:row>
    <x:row r="90" ht="40" customHeight="1">
      <x:c r="A90" s="7" t="str">
        <x:v>O105</x:v>
      </x:c>
      <x:c r="B90" s="7" t="str">
        <x:v>3.2 动态任务与多资源联合调度</x:v>
      </x:c>
      <x:c r="C90" s="7" t="str">
        <x:v>4 综合评价与研究展望</x:v>
      </x:c>
      <x:c r="D90" s="7" t="str">
        <x:v>Q09、Q22</x:v>
      </x:c>
      <x:c r="E90" s="7" t="str">
        <x:v>如何压缩任务决策空间，同时兼顾收益和负载均衡？</x:v>
      </x:c>
      <x:c r="F90" s="7" t="str">
        <x:v>A decompose-and-learn multi-objective algorithm for scheduling large-scale earth observation satellites</x:v>
      </x:c>
      <x:c r="G90" s="7" t="str">
        <x:v>用于大规模对地观测卫星调度的分解学习多目标算法</x:v>
      </x:c>
      <x:c r="H90" s="14" t="str">
        <x:v>10.1016/j.swevo.2024.101792</x:v>
      </x:c>
      <x:c r="I90" s="12" t="n">
        <x:v>2025</x:v>
      </x:c>
      <x:c r="J90" s="7" t="str">
        <x:v>Swarm and Evolutionary Computation</x:v>
      </x:c>
      <x:c r="K90" s="7" t="str">
        <x:v>LS2MO-SS：动态学习任务分配演化算子，双向排序与全局修补。</x:v>
      </x:c>
      <x:c r="L90" s="7" t="str">
        <x:v>预计算可见窗口、圈次子问题及跨子问题协调。</x:v>
      </x:c>
      <x:c r="M90" s="7" t="str">
        <x:v>整算法、演化算子和排序策略的比较实验。</x:v>
      </x:c>
      <x:c r="N90" s="7" t="str">
        <x:v>出版社摘要与模型介绍</x:v>
      </x:c>
      <x:c r="O90" s="7" t="str">
        <x:v>沿用前轮提取；待完整全文核查</x:v>
      </x:c>
      <x:c r="P90" s="7" t="str">
        <x:v>尚无经全文核查的精确页码、章节或图表位置。</x:v>
      </x:c>
      <x:c r="Q90" s="7" t="str">
        <x:v>补齐分解、进化与多目标权衡。</x:v>
      </x:c>
      <x:c r="R90" s="7" t="str">
        <x:v>这里的orbit包括规划时域内的轨道圈次，不应直接当作独立轨道面数量。
2024年在线，2025年卷期。</x:v>
      </x:c>
      <x:c r="S90" s="7" t="str">
        <x:v>第二轮专题精读</x:v>
      </x:c>
      <x:c r="T90" s="7" t="str">
        <x:v>提取分解、算法作用位置、可行性检查、信息交换、网络异常、理论前提和训练／在线总成本。</x:v>
      </x:c>
      <x:c r="U90" s="16" t="str"/>
      <x:c r="V90" s="7" t="str">
        <x:v>https://www.sciencedirect.com/science/article/pii/S2210650224003304
https://doi.org/10.1016/j.swevo.2024.101792</x:v>
      </x:c>
      <x:c r="W90" s="13"/>
      <x:c r="X90" s="17" t="str"/>
      <x:c r="Y90" s="7" t="str">
        <x:v>研究／方法</x:v>
      </x:c>
    </x:row>
    <x:row r="91" ht="40" customHeight="1">
      <x:c r="A91" s="7" t="str">
        <x:v>O106</x:v>
      </x:c>
      <x:c r="B91" s="7" t="str">
        <x:v>3.2 动态任务与多资源联合调度</x:v>
      </x:c>
      <x:c r="C91" s="7" t="str">
        <x:v>4 综合评价与研究展望</x:v>
      </x:c>
      <x:c r="D91" s="7" t="str">
        <x:v>Q09、Q22</x:v>
      </x:c>
      <x:c r="E91" s="7" t="str">
        <x:v>如何让学习同时改善宏观任务分配和局部搜索？</x:v>
      </x:c>
      <x:c r="F91" s="7" t="str">
        <x:v>A data-driven bilevel optimization algorithm for multiple agile satellites task scheduling</x:v>
      </x:c>
      <x:c r="G91" s="7" t="str">
        <x:v>多敏捷卫星任务调度的数据驱动双层优化算法</x:v>
      </x:c>
      <x:c r="H91" s="14" t="str">
        <x:v>10.1016/j.swevo.2026.102391</x:v>
      </x:c>
      <x:c r="I91" s="12" t="n">
        <x:v>2026</x:v>
      </x:c>
      <x:c r="J91" s="7" t="str">
        <x:v>Swarm and Evolutionary Computation</x:v>
      </x:c>
      <x:c r="K91" s="7" t="str">
        <x:v>DDBOA：强化学习适应宏观分配，频繁模式挖掘从精英解提取知识指导局部搜索。</x:v>
      </x:c>
      <x:c r="L91" s="7" t="str">
        <x:v>任务排序与资源可行性；双层耦合和学习训练细节待提取。</x:v>
      </x:c>
      <x:c r="M91" s="7" t="str">
        <x:v>出版社摘要／Highlights所述方法与数值比较。</x:v>
      </x:c>
      <x:c r="N91" s="7" t="str">
        <x:v>出版社公开摘要与Highlights</x:v>
      </x:c>
      <x:c r="O91" s="7" t="str">
        <x:v>沿用前轮提取；待完整全文核查</x:v>
      </x:c>
      <x:c r="P91" s="7" t="str">
        <x:v>尚无经全文核查的精确页码、章节或图表位置。</x:v>
      </x:c>
      <x:c r="Q91" s="7" t="str">
        <x:v>增加混合优化与学习的分层结构。</x:v>
      </x:c>
      <x:c r="R91" s="7" t="str">
        <x:v>多层学习收益需计入训练、知识挖掘和在线求解总成本。
2026年6月正式卷期。</x:v>
      </x:c>
      <x:c r="S91" s="7" t="str">
        <x:v>第二轮专题精读</x:v>
      </x:c>
      <x:c r="T91" s="7" t="str">
        <x:v>提取分解、算法作用位置、可行性检查、信息交换、网络异常、理论前提和训练／在线总成本。</x:v>
      </x:c>
      <x:c r="U91" s="16" t="str"/>
      <x:c r="V91" s="7" t="str">
        <x:v>https://www.sciencedirect.com/science/article/pii/S2210650226001112
https://doi.org/10.1016/j.swevo.2026.102391</x:v>
      </x:c>
      <x:c r="W91" s="13"/>
      <x:c r="X91" s="17" t="str"/>
      <x:c r="Y91" s="7" t="str">
        <x:v>研究／方法</x:v>
      </x:c>
    </x:row>
    <x:row r="92" ht="40" customHeight="1">
      <x:c r="A92" s="7" t="str">
        <x:v>O107</x:v>
      </x:c>
      <x:c r="B92" s="7" t="str">
        <x:v>3.2 动态任务与多资源联合调度</x:v>
      </x:c>
      <x:c r="C92" s="7" t="str">
        <x:v>无额外章节</x:v>
      </x:c>
      <x:c r="D92" s="7" t="str">
        <x:v>Q11</x:v>
      </x:c>
      <x:c r="E92" s="7" t="str">
        <x:v>怎样在同一计划中处理观测、下传、能量与存储限制？</x:v>
      </x:c>
      <x:c r="F92" s="7" t="str">
        <x:v>Solving the Observing and Downloading Integrated Scheduling Problem of Earth Observation Satellite with a Quantum Genetic Algorithm</x:v>
      </x:c>
      <x:c r="G92" s="7" t="str">
        <x:v>采用量子遗传算法求解对地观测卫星观测与下传集成调度问题</x:v>
      </x:c>
      <x:c r="H92" s="14" t="str">
        <x:v>10.21078/JSSI-2018-399-22</x:v>
      </x:c>
      <x:c r="I92" s="12" t="n">
        <x:v>2018</x:v>
      </x:c>
      <x:c r="J92" s="7" t="str">
        <x:v>Journal of Systems Science and Information</x:v>
      </x:c>
      <x:c r="K92" s="7" t="str">
        <x:v>无环有向图模型；量子启发遗传算法和新编码／解码机制。</x:v>
      </x:c>
      <x:c r="L92" s="7" t="str">
        <x:v>能量、存储、观测及下传操作。</x:v>
      </x:c>
      <x:c r="M92" s="7" t="str">
        <x:v>与遗传算法和贪心算法的模拟比较。</x:v>
      </x:c>
      <x:c r="N92" s="7" t="str">
        <x:v>正式期刊公开摘要</x:v>
      </x:c>
      <x:c r="O92" s="7" t="str">
        <x:v>沿用前轮提取；待完整全文核查</x:v>
      </x:c>
      <x:c r="P92" s="7" t="str">
        <x:v>尚无经全文核查的精确页码、章节或图表位置。</x:v>
      </x:c>
      <x:c r="Q92" s="7" t="str">
        <x:v>为联合调度提供早期图模型和编码设计基线。</x:v>
      </x:c>
      <x:c r="R92" s="7" t="str">
        <x:v>量子遗传算法是优化算法名称，不表示使用量子硬件；完整动态能量模型待提取。
2018年正式期刊论文；题名和DOI取得Crossref匹配。</x:v>
      </x:c>
      <x:c r="S92" s="7" t="str">
        <x:v>第二轮专题精读</x:v>
      </x:c>
      <x:c r="T92" s="7" t="str">
        <x:v>提取变量、任务链、目标、窗口、资源动态与不确定性；确认收益是否需要实际完成或交付。</x:v>
      </x:c>
      <x:c r="U92" s="16" t="str"/>
      <x:c r="V92" s="7" t="str">
        <x:v>https://syssci.cjoe.ac.cn/EN/10.21078/JSSI-2018-399-22
https://doi.org/10.21078/JSSI-2018-399-22</x:v>
      </x:c>
      <x:c r="W92" s="13"/>
      <x:c r="X92" s="17" t="str"/>
      <x:c r="Y92" s="7" t="str">
        <x:v>研究／方法</x:v>
      </x:c>
    </x:row>
    <x:row r="93" ht="38" customHeight="1">
      <x:c r="A93" s="7" t="str">
        <x:v>O109</x:v>
      </x:c>
      <x:c r="B93" s="7" t="str">
        <x:v>3.2 动态任务与多资源联合调度</x:v>
      </x:c>
      <x:c r="C93" s="7" t="str">
        <x:v>无额外章节</x:v>
      </x:c>
      <x:c r="D93" s="7" t="str">
        <x:v>Q11</x:v>
      </x:c>
      <x:c r="E93" s="7" t="str">
        <x:v>延长观测时窗后，如何同时安排成像开始时间和短通信窗口？</x:v>
      </x:c>
      <x:c r="F93" s="7" t="str">
        <x:v>Joint Observation and Transmission Scheduling in Agile Satellite Networks</x:v>
      </x:c>
      <x:c r="G93" s="7" t="str">
        <x:v>敏捷卫星网络中的观测与传输联合调度</x:v>
      </x:c>
      <x:c r="H93" s="14" t="str">
        <x:v>10.1109/TMC.2021.3076088</x:v>
      </x:c>
      <x:c r="I93" s="12" t="n">
        <x:v>2022</x:v>
      </x:c>
      <x:c r="J93" s="7" t="str">
        <x:v>IEEE Transactions on Mobile Computing</x:v>
      </x:c>
      <x:c r="K93" s="7" t="str">
        <x:v>ILP，半正定松弛（SDR）与遗传算法；利用问题结构降低计算量。</x:v>
      </x:c>
      <x:c r="L93" s="7" t="str">
        <x:v>观测／传输时间窗口、关联决策与时间空间依赖。</x:v>
      </x:c>
      <x:c r="M93" s="7" t="str">
        <x:v>作者公开稿模型与仿真比较。</x:v>
      </x:c>
      <x:c r="N93" s="7" t="str">
        <x:v>作者公开论文摘要与模型概述</x:v>
      </x:c>
      <x:c r="O93" s="7" t="str">
        <x:v>沿用前轮提取；待完整全文核查</x:v>
      </x:c>
      <x:c r="P93" s="7" t="str">
        <x:v>尚无经全文核查的精确页码、章节或图表位置。</x:v>
      </x:c>
      <x:c r="Q93" s="7" t="str">
        <x:v>连接连续窗口选择、离散关联和联合任务价值。</x:v>
      </x:c>
      <x:c r="R93" s="7" t="str">
        <x:v>约束模型与能量补充并非同一范围；松弛解需转换为原问题可行方案。
2021年在线，2022年正式卷期。</x:v>
      </x:c>
      <x:c r="S93" s="7" t="str">
        <x:v>第二轮专题精读</x:v>
      </x:c>
      <x:c r="T93" s="7" t="str">
        <x:v>提取变量、任务链、目标、窗口、资源动态与不确定性；确认收益是否需要实际完成或交付。</x:v>
      </x:c>
      <x:c r="U93" s="16" t="str"/>
      <x:c r="V93" s="7" t="str">
        <x:v>https://www.comm.utoronto.ca/~liang/publications/TMC_ObsTrans_ASN.pdf
https://doi.org/10.1109/TMC.2021.3076088</x:v>
      </x:c>
      <x:c r="W93" s="13"/>
      <x:c r="X93" s="17" t="str"/>
      <x:c r="Y93" s="7" t="str">
        <x:v>研究／方法</x:v>
      </x:c>
    </x:row>
    <x:row r="94" ht="40" customHeight="1">
      <x:c r="A94" s="7" t="str">
        <x:v>O114</x:v>
      </x:c>
      <x:c r="B94" s="7" t="str">
        <x:v>3.2 动态任务与多资源联合调度</x:v>
      </x:c>
      <x:c r="C94" s="7" t="str">
        <x:v>无额外章节</x:v>
      </x:c>
      <x:c r="D94" s="7" t="str">
        <x:v>Q16、Q15</x:v>
      </x:c>
      <x:c r="E94" s="7" t="str">
        <x:v>通信时延改变局部信息时，如何协调多星决策？</x:v>
      </x:c>
      <x:c r="F94" s="7" t="str">
        <x:v>Distributed cooperative task planning algorithm for multiple satellites in delayed communication environment</x:v>
      </x:c>
      <x:c r="G94" s="7" t="str">
        <x:v>延迟通信环境下多卫星分布式协同任务规划算法</x:v>
      </x:c>
      <x:c r="H94" s="14" t="str">
        <x:v>10.1109/JSEE.2016.00066</x:v>
      </x:c>
      <x:c r="I94" s="12" t="n">
        <x:v>2016</x:v>
      </x:c>
      <x:c r="J94" s="7" t="str">
        <x:v>Journal of Systems Engineering and Electronics</x:v>
      </x:c>
      <x:c r="K94" s="7" t="str">
        <x:v>DAG环境信息、DEC-POMDP协同框架；统一时延处理与模拟退火近似求解。</x:v>
      </x:c>
      <x:c r="L94" s="7" t="str">
        <x:v>时序任务、局部可观测信息与通信延迟。</x:v>
      </x:c>
      <x:c r="M94" s="7" t="str">
        <x:v>出版社摘要所述仿真验证。</x:v>
      </x:c>
      <x:c r="N94" s="7" t="str">
        <x:v>期刊公开摘要</x:v>
      </x:c>
      <x:c r="O94" s="7" t="str">
        <x:v>沿用前轮提取；待完整全文核查</x:v>
      </x:c>
      <x:c r="P94" s="7" t="str">
        <x:v>尚无经全文核查的精确页码、章节或图表位置。</x:v>
      </x:c>
      <x:c r="Q94" s="7" t="str">
        <x:v>补充明确考虑延迟的信息结构与协同模型。</x:v>
      </x:c>
      <x:c r="R94" s="7" t="str">
        <x:v>通信延迟与丢包、节点失效不是同一扰动；完整延迟设置待提取。
2016年正式期刊论文。</x:v>
      </x:c>
      <x:c r="S94" s="7" t="str">
        <x:v>第二轮专题精读</x:v>
      </x:c>
      <x:c r="T94" s="7" t="str">
        <x:v>提取分解、算法作用位置、可行性检查、信息交换、网络异常、理论前提和训练／在线总成本。</x:v>
      </x:c>
      <x:c r="U94" s="16" t="str"/>
      <x:c r="V94" s="7" t="str">
        <x:v>https://www.jseepub.com/EN/10.1109/JSEE.2016.00066
https://doi.org/10.1109/JSEE.2016.00066</x:v>
      </x:c>
      <x:c r="W94" s="13"/>
      <x:c r="X94" s="17" t="str"/>
      <x:c r="Y94" s="7" t="str">
        <x:v>研究／方法</x:v>
      </x:c>
    </x:row>
    <x:row r="95" ht="40" customHeight="1">
      <x:c r="A95" s="7" t="str">
        <x:v>O121</x:v>
      </x:c>
      <x:c r="B95" s="7" t="str">
        <x:v>3.2 动态任务与多资源联合调度</x:v>
      </x:c>
      <x:c r="C95" s="7" t="str">
        <x:v>4 综合评价与研究展望</x:v>
      </x:c>
      <x:c r="D95" s="7" t="str">
        <x:v>Q09、Q14、Q22</x:v>
      </x:c>
      <x:c r="E95" s="7" t="str">
        <x:v>如何同时安排观测、能源、下传和动量管理模式？</x:v>
      </x:c>
      <x:c r="F95" s="7" t="str">
        <x:v>Hybrid genetic algorithm and deep reinforcement learning for autonomous multi-mode satellite task scheduling</x:v>
      </x:c>
      <x:c r="G95" s="7" t="str">
        <x:v>自主多模式卫星任务调度的遗传算法与深度强化学习混合方法</x:v>
      </x:c>
      <x:c r="H95" s="14" t="str">
        <x:v>10.1016/j.actaastro.2026.02.017</x:v>
      </x:c>
      <x:c r="I95" s="12" t="n">
        <x:v>2026</x:v>
      </x:c>
      <x:c r="J95" s="7" t="str">
        <x:v>Acta Astronautica</x:v>
      </x:c>
      <x:c r="K95" s="7" t="str">
        <x:v>GA优化—行为克隆预训练—Dueling Double DQN微调的三阶段框架。</x:v>
      </x:c>
      <x:c r="L95" s="7" t="str">
        <x:v>姿态动态、功率、存储、动量饱和；4模式为成像、对日、下传、动量卸载。</x:v>
      </x:c>
      <x:c r="M95" s="7" t="str">
        <x:v>包含六自由度、姿态与发电模型的Basilisk仿真。</x:v>
      </x:c>
      <x:c r="N95" s="7" t="str">
        <x:v>出版社摘要与Highlights</x:v>
      </x:c>
      <x:c r="O95" s="7" t="str">
        <x:v>沿用前轮提取；待完整全文核查</x:v>
      </x:c>
      <x:c r="P95" s="7" t="str">
        <x:v>尚无经全文核查的精确页码、章节或图表位置。</x:v>
      </x:c>
      <x:c r="Q95" s="7" t="str">
        <x:v>补齐动量与姿态耦合，并提供学习初始化的混合优化例子。</x:v>
      </x:c>
      <x:c r="R95" s="7" t="str">
        <x:v>仿真中的星上自主策略与真实飞行部署不同；需计算预训练与在线推理总成本。
2026年8月正式卷期。</x:v>
      </x:c>
      <x:c r="S95" s="7" t="str">
        <x:v>第二轮专题精读</x:v>
      </x:c>
      <x:c r="T95" s="7" t="str">
        <x:v>提取变量、任务链、目标、窗口、资源动态与不确定性；确认收益是否需要实际完成或交付。</x:v>
      </x:c>
      <x:c r="U95" s="16" t="str"/>
      <x:c r="V95" s="7" t="str">
        <x:v>https://www.sciencedirect.com/science/article/pii/S0094576526001098
https://doi.org/10.1016/j.actaastro.2026.02.017</x:v>
      </x:c>
      <x:c r="W95" s="13"/>
      <x:c r="X95" s="17" t="str"/>
      <x:c r="Y95" s="7" t="str">
        <x:v>研究／方法</x:v>
      </x:c>
    </x:row>
    <x:row r="96" ht="38" customHeight="1">
      <x:c r="A96" s="7" t="str">
        <x:v>O125</x:v>
      </x:c>
      <x:c r="B96" s="7" t="str">
        <x:v>3.2 动态任务与多资源联合调度</x:v>
      </x:c>
      <x:c r="C96" s="7" t="str">
        <x:v>无额外章节</x:v>
      </x:c>
      <x:c r="D96" s="7" t="str">
        <x:v>Q13</x:v>
      </x:c>
      <x:c r="E96" s="7" t="str">
        <x:v>任务执行时间接近可见窗口长度时，如何避免完成前链路离开？</x:v>
      </x:c>
      <x:c r="F96" s="7" t="str">
        <x:v>Orbit-aware task scheduling in satellite edge computing</x:v>
      </x:c>
      <x:c r="G96" s="7" t="str">
        <x:v>卫星边缘计算中的轨道感知任务调度</x:v>
      </x:c>
      <x:c r="H96" s="14" t="str">
        <x:v>10.1007/s10586-025-05663-9</x:v>
      </x:c>
      <x:c r="I96" s="12" t="n">
        <x:v>2025</x:v>
      </x:c>
      <x:c r="J96" s="7" t="str">
        <x:v>Cluster Computing</x:v>
      </x:c>
      <x:c r="K96" s="7" t="str">
        <x:v>轨道运动与网络模型、分布式资源分配和离散事件仿真。</x:v>
      </x:c>
      <x:c r="L96" s="7" t="str">
        <x:v>资源、执行时间、截止期和卫星可见性；放宽固定网络拓扑与一跳连接数假设。</x:v>
      </x:c>
      <x:c r="M96" s="7" t="str">
        <x:v>DES模拟中的任务成功率与截止期满足率。</x:v>
      </x:c>
      <x:c r="N96" s="7" t="str">
        <x:v>出版社登记摘要与公开介绍</x:v>
      </x:c>
      <x:c r="O96" s="7" t="str">
        <x:v>沿用前轮提取；待完整全文核查</x:v>
      </x:c>
      <x:c r="P96" s="7" t="str">
        <x:v>尚无经全文核查的精确页码、章节或图表位置。</x:v>
      </x:c>
      <x:c r="Q96" s="7" t="str">
        <x:v>把轨道窗口嵌入计算调度，补齐网络动态与长任务耦合。</x:v>
      </x:c>
      <x:c r="R96" s="7" t="str">
        <x:v>文中sunset指卫星可见性结束，不能直接当作太阳照明终止；仿真不等于星上部署。
2025-10-17正式在线。</x:v>
      </x:c>
      <x:c r="S96" s="7" t="str">
        <x:v>第二轮专题精读</x:v>
      </x:c>
      <x:c r="T96" s="7" t="str">
        <x:v>提取变量、任务链、目标、窗口、资源动态与不确定性；确认收益是否需要实际完成或交付。</x:v>
      </x:c>
      <x:c r="U96" s="16" t="str"/>
      <x:c r="V96" s="7" t="str">
        <x:v>https://link.springer.com/article/10.1007/s10586-025-05663-9
https://doi.org/10.1007/s10586-025-05663-9</x:v>
      </x:c>
      <x:c r="W96" s="13"/>
      <x:c r="X96" s="17" t="str"/>
      <x:c r="Y96" s="7" t="str">
        <x:v>研究／方法</x:v>
      </x:c>
    </x:row>
    <x:row r="97" ht="38" customHeight="1">
      <x:c r="A97" s="7" t="str">
        <x:v>O12</x:v>
      </x:c>
      <x:c r="B97" s="7" t="str">
        <x:v>3.2 动态任务与多资源联合调度</x:v>
      </x:c>
      <x:c r="C97" s="7" t="str">
        <x:v>3.3 安全执行与异常恢复</x:v>
      </x:c>
      <x:c r="D97" s="7" t="str">
        <x:v>Q17、Q19</x:v>
      </x:c>
      <x:c r="E97" s="7" t="str">
        <x:v>有限地面传感器怎样同时维护目录并优先观测风险目标？</x:v>
      </x:c>
      <x:c r="F97" s="7" t="str">
        <x:v>Risk-aware sensor scheduling and tracking of large constellations</x:v>
      </x:c>
      <x:c r="G97" s="7" t="str">
        <x:v>大型星座的风险感知传感器调度与跟踪</x:v>
      </x:c>
      <x:c r="H97" s="14" t="str">
        <x:v>10.1016/j.asr.2021.04.042</x:v>
      </x:c>
      <x:c r="I97" s="12" t="n">
        <x:v>2021</x:v>
      </x:c>
      <x:c r="J97" s="7" t="str">
        <x:v>Advances in Space Research</x:v>
      </x:c>
      <x:c r="K97" s="7" t="str">
        <x:v>信息增益＋碰撞风险奖励，LMB多目标滤波与循环任务分配。</x:v>
      </x:c>
      <x:c r="L97" s="7" t="str">
        <x:v>有限传感器、观测不确定性、目录状态和风险目标。</x:v>
      </x:c>
      <x:c r="M97" s="7" t="str">
        <x:v>模拟跟踪与会合评估。</x:v>
      </x:c>
      <x:c r="N97" s="7" t="str">
        <x:v>出版社摘要与公开章节片段</x:v>
      </x:c>
      <x:c r="O97" s="7" t="str">
        <x:v>沿用前轮提取；待完整全文核查</x:v>
      </x:c>
      <x:c r="P97" s="7" t="str">
        <x:v>尚无经全文核查的精确页码、章节或图表位置。</x:v>
      </x:c>
      <x:c r="Q97" s="7" t="str">
        <x:v>显示安全与调度已有耦合研究；这里是SSA传感器调度，并非服务船任务调度。</x:v>
      </x:c>
      <x:c r="R97" s="7" t="str">
        <x:v>明确4545与4425的分母区别，不混写星座卫星总数。
明确4545与4425的分母区别，不混写星座卫星总数。</x:v>
      </x:c>
      <x:c r="S97" s="7" t="str">
        <x:v>背景或方法参照</x:v>
      </x:c>
      <x:c r="T97" s="7" t="str">
        <x:v>提取动力学、终端状态、安全约束、连续时间检查和故障恢复；核查保证对象及执行反馈。</x:v>
      </x:c>
      <x:c r="U97" s="16" t="str"/>
      <x:c r="V97" s="7" t="str">
        <x:v>https://www.sciencedirect.com/science/article/pii/S0273117721003410
https://doi.org/10.1016/j.asr.2021.04.042</x:v>
      </x:c>
      <x:c r="W97" s="13"/>
      <x:c r="X97" s="17" t="str"/>
      <x:c r="Y97" s="7" t="str">
        <x:v>研究／方法</x:v>
      </x:c>
    </x:row>
    <x:row r="98" ht="38" customHeight="1">
      <x:c r="A98" s="7" t="str">
        <x:v>O15</x:v>
      </x:c>
      <x:c r="B98" s="7" t="str">
        <x:v>3.2 动态任务与多资源联合调度</x:v>
      </x:c>
      <x:c r="C98" s="7" t="str">
        <x:v>2 系统框架与问题建模
3.4 跨层耦合与闭环协同</x:v>
      </x:c>
      <x:c r="D98" s="7" t="str">
        <x:v>Q13、Q02、Q21</x:v>
      </x:c>
      <x:c r="E98" s="7" t="str">
        <x:v>如何分层组织全局用户、频谱和卫星资源？</x:v>
      </x:c>
      <x:c r="F98" s="7" t="str">
        <x:v>Hierarchical Resource Management for Mega-LEO Satellite Constellation</x:v>
      </x:c>
      <x:c r="G98" s="7" t="str">
        <x:v>巨型低轨卫星星座的分层资源管理</x:v>
      </x:c>
      <x:c r="H98" s="14" t="str">
        <x:v>10.3390/s25030902</x:v>
      </x:c>
      <x:c r="I98" s="12" t="n">
        <x:v>2025</x:v>
      </x:c>
      <x:c r="J98" s="7" t="str">
        <x:v>Sensors</x:v>
      </x:c>
      <x:c r="K98" s="7" t="str">
        <x:v>三层资源管理架构与资源分配流程。</x:v>
      </x:c>
      <x:c r="L98" s="7" t="str">
        <x:v>频谱、用户空间分布、业务和网络资源。</x:v>
      </x:c>
      <x:c r="M98" s="7" t="str">
        <x:v>数值性能评估；指标待全文提取。</x:v>
      </x:c>
      <x:c r="N98" s="7" t="str">
        <x:v>出版社公开章节描述与注册摘要</x:v>
      </x:c>
      <x:c r="O98" s="7" t="str">
        <x:v>沿用前轮提取；待完整全文核查</x:v>
      </x:c>
      <x:c r="P98" s="7" t="str">
        <x:v>尚无经全文核查的精确页码、章节或图表位置。</x:v>
      </x:c>
      <x:c r="Q98" s="7" t="str">
        <x:v>用于通信与计算资源接口，不能等同于服务航天器调度。</x:v>
      </x:c>
      <x:c r="R98" s="7" t="str">
        <x:v>网络资源对象需单独编码。
网络资源对象需单独编码。</x:v>
      </x:c>
      <x:c r="S98" s="7" t="str">
        <x:v>背景或方法参照</x:v>
      </x:c>
      <x:c r="T98" s="7" t="str">
        <x:v>提取节点／代理定义、状态与任务数据、规划触发、执行接口、人工监督、故障检测及恢复动作。</x:v>
      </x:c>
      <x:c r="U98" s="16" t="str"/>
      <x:c r="V98" s="7" t="str">
        <x:v>https://www.mdpi.com/1424-8220/25/3/902
https://doi.org/10.3390/s25030902</x:v>
      </x:c>
      <x:c r="W98" s="13"/>
      <x:c r="X98" s="17" t="str"/>
      <x:c r="Y98" s="7" t="str">
        <x:v>研究／方法</x:v>
      </x:c>
    </x:row>
    <x:row r="99" ht="40" customHeight="1">
      <x:c r="A99" s="7" t="str">
        <x:v>O65</x:v>
      </x:c>
      <x:c r="B99" s="7" t="str">
        <x:v>3.2 动态任务与多资源联合调度</x:v>
      </x:c>
      <x:c r="C99" s="7" t="str">
        <x:v>无额外章节</x:v>
      </x:c>
      <x:c r="D99" s="7" t="str">
        <x:v>Q09</x:v>
      </x:c>
      <x:c r="E99" s="7" t="str">
        <x:v>如何在过量观测请求中选择可执行的观测序列？</x:v>
      </x:c>
      <x:c r="F99" s="7" t="str">
        <x:v>Selecting and scheduling observations of agile satellites</x:v>
      </x:c>
      <x:c r="G99" s="7" t="str">
        <x:v>敏捷卫星观测任务的选择与调度</x:v>
      </x:c>
      <x:c r="H99" s="14" t="str">
        <x:v>10.1016/S1270-9638(02)01173-2</x:v>
      </x:c>
      <x:c r="I99" s="12" t="n">
        <x:v>2002</x:v>
      </x:c>
      <x:c r="J99" s="7" t="str">
        <x:v>Aerospace Science and Technology</x:v>
      </x:c>
      <x:c r="K99" s="7" t="str">
        <x:v>比较贪心、动态规划、约束规划和局部搜索等方法。</x:v>
      </x:c>
      <x:c r="L99" s="7" t="str">
        <x:v>可见时间窗口、观测时长及姿态转换等敏捷性约束。</x:v>
      </x:c>
      <x:c r="M99" s="7" t="str">
        <x:v>简化观测调度模型与方法比较。</x:v>
      </x:c>
      <x:c r="N99" s="7" t="str">
        <x:v>出版社摘要与公开论文入口</x:v>
      </x:c>
      <x:c r="O99" s="7" t="str">
        <x:v>沿用前轮提取；待完整全文核查</x:v>
      </x:c>
      <x:c r="P99" s="7" t="str">
        <x:v>尚无经全文核查的精确页码、章节或图表位置。</x:v>
      </x:c>
      <x:c r="Q99" s="7" t="str">
        <x:v>交代观测调度的经典问题定义和传统方法来源。</x:v>
      </x:c>
      <x:c r="R99" s="7" t="str">
        <x:v>早期简化模型；不能代替现代多星、星地联合资源调度实验。
2002年经典方法论文。</x:v>
      </x:c>
      <x:c r="S99" s="7" t="str">
        <x:v>背景或方法参照</x:v>
      </x:c>
      <x:c r="T99" s="7" t="str">
        <x:v>提取变量、任务链、目标、窗口、资源动态与不确定性；确认收益是否需要实际完成或交付。</x:v>
      </x:c>
      <x:c r="U99" s="16" t="str"/>
      <x:c r="V99" s="7" t="str">
        <x:v>https://www.sciencedirect.com/science/article/pii/S1270963802011732
https://www2.cs.sfu.ca/CourseCentral/827/havens/papers/topic%2312%28SatelliteScheduling%29/lemaitre-2002.pdf
https://doi.org/10.1016/S1270-9638(02)01173-2</x:v>
      </x:c>
      <x:c r="W99" s="13"/>
      <x:c r="X99" s="17" t="str"/>
      <x:c r="Y99" s="7" t="str">
        <x:v>研究／方法</x:v>
      </x:c>
    </x:row>
    <x:row r="100" ht="40" customHeight="1">
      <x:c r="A100" s="7" t="str">
        <x:v>O74</x:v>
      </x:c>
      <x:c r="B100" s="7" t="str">
        <x:v>3.2 动态任务与多资源联合调度</x:v>
      </x:c>
      <x:c r="C100" s="7" t="str">
        <x:v>无额外章节</x:v>
      </x:c>
      <x:c r="D100" s="7" t="str">
        <x:v>Q12、Q09</x:v>
      </x:c>
      <x:c r="E100" s="7" t="str">
        <x:v>多颗卫星共享有限天线和时间窗口时，调度复杂度和冲突如何处理？</x:v>
      </x:c>
      <x:c r="F100" s="7" t="str">
        <x:v>Scheduling Space–Ground Communications for the Air Force Satellite Control Network</x:v>
      </x:c>
      <x:c r="G100" s="7" t="str">
        <x:v>美国空军卫星控制网络的星地通信调度</x:v>
      </x:c>
      <x:c r="H100" s="14" t="str">
        <x:v>10.1023/B:JOSH.0000013053.32600.3c</x:v>
      </x:c>
      <x:c r="I100" s="12" t="n">
        <x:v>2004</x:v>
      </x:c>
      <x:c r="J100" s="7" t="str">
        <x:v>Journal of Scheduling</x:v>
      </x:c>
      <x:c r="K100" s="7" t="str">
        <x:v>调度复杂度分析、遗传算法及其他启发式比较；单资源与多资源情形分开。</x:v>
      </x:c>
      <x:c r="L100" s="7" t="str">
        <x:v>地面天线资源、访问窗口与超额请求。</x:v>
      </x:c>
      <x:c r="M100" s="7" t="str">
        <x:v>1992年历史数据集与生成实例；具体测试规模待提取。</x:v>
      </x:c>
      <x:c r="N100" s="7" t="str">
        <x:v>出版社题名及作者公开全文</x:v>
      </x:c>
      <x:c r="O100" s="7" t="str">
        <x:v>沿用前轮提取；待完整全文核查</x:v>
      </x:c>
      <x:c r="P100" s="7" t="str">
        <x:v>尚无经全文核查的精确页码、章节或图表位置。</x:v>
      </x:c>
      <x:c r="Q100" s="7" t="str">
        <x:v>支持测控资源共享问题的经典定义、复杂度和规模计量。</x:v>
      </x:c>
      <x:c r="R100" s="7" t="str">
        <x:v>历史系统参数不能当作当前系统现状；请求数与天线数要分别记录。
2004年论文；使用出版社题名，修复曾出现的连接号编码问题。</x:v>
      </x:c>
      <x:c r="S100" s="7" t="str">
        <x:v>背景或方法参照</x:v>
      </x:c>
      <x:c r="T100" s="7" t="str">
        <x:v>提取变量、任务链、目标、窗口、资源动态与不确定性；确认收益是否需要实际完成或交付。</x:v>
      </x:c>
      <x:c r="U100" s="16" t="str"/>
      <x:c r="V100" s="7" t="str">
        <x:v>https://link.springer.com/article/10.1023/B:JOSH.0000013053.32600.3c
https://www.cs.colostate.edu/~howe/papers/JOS04.pdf
https://doi.org/10.1023/B:JOSH.0000013053.32600.3c</x:v>
      </x:c>
      <x:c r="W100" s="13"/>
      <x:c r="X100" s="17" t="str"/>
      <x:c r="Y100" s="7" t="str">
        <x:v>研究／方法</x:v>
      </x:c>
    </x:row>
    <x:row r="101" ht="38" customHeight="1">
      <x:c r="A101" s="7" t="str">
        <x:v>O75</x:v>
      </x:c>
      <x:c r="B101" s="7" t="str">
        <x:v>3.2 动态任务与多资源联合调度</x:v>
      </x:c>
      <x:c r="C101" s="7" t="str">
        <x:v>无额外章节</x:v>
      </x:c>
      <x:c r="D101" s="7" t="str">
        <x:v>Q12、Q09</x:v>
      </x:c>
      <x:c r="E101" s="7" t="str">
        <x:v>在真实请求超额的测控周中，如何满足更多任务需求？</x:v>
      </x:c>
      <x:c r="F101" s="7" t="str">
        <x:v>Deep Space Network Scheduling via Mixed-Integer Linear Programming</x:v>
      </x:c>
      <x:c r="G101" s="7" t="str">
        <x:v>基于混合整数线性规划的深空网络调度</x:v>
      </x:c>
      <x:c r="H101" s="14" t="str">
        <x:v>10.1109/ACCESS.2021.3064928</x:v>
      </x:c>
      <x:c r="I101" s="12" t="n">
        <x:v>2021</x:v>
      </x:c>
      <x:c r="J101" s="7" t="str">
        <x:v>IEEE Access</x:v>
      </x:c>
      <x:c r="K101" s="7" t="str">
        <x:v>序贯MILP调度，与启发式方法比较。</x:v>
      </x:c>
      <x:c r="L101" s="7" t="str">
        <x:v>测控资源、任务请求时窗与满足需求；完整兼容性规则待提取。</x:v>
      </x:c>
      <x:c r="M101" s="7" t="str">
        <x:v>真实请求驱动的离线计算比较。</x:v>
      </x:c>
      <x:c r="N101" s="7" t="str">
        <x:v>作者公开论文</x:v>
      </x:c>
      <x:c r="O101" s="7" t="str">
        <x:v>沿用前轮提取；待完整全文核查</x:v>
      </x:c>
      <x:c r="P101" s="7" t="str">
        <x:v>尚无经全文核查的精确页码、章节或图表位置。</x:v>
      </x:c>
      <x:c r="Q101" s="7" t="str">
        <x:v>借鉴公平性、请求满足率和稀缺测控资源调度。</x:v>
      </x:c>
      <x:c r="R101" s="7" t="str">
        <x:v>深空测控架构与LEO窗口不同；真实输入不等于方案已部署执行。
2021年IEEE Access期刊论文。</x:v>
      </x:c>
      <x:c r="S101" s="7" t="str">
        <x:v>背景或方法参照</x:v>
      </x:c>
      <x:c r="T101" s="7" t="str">
        <x:v>提取变量、任务链、目标、窗口、资源动态与不确定性；确认收益是否需要实际完成或交付。</x:v>
      </x:c>
      <x:c r="U101" s="16" t="str"/>
      <x:c r="V101" s="7" t="str">
        <x:v>https://www.columbia.edu/~rm3122/paper/deep_space.pdf
https://doi.org/10.1109/ACCESS.2021.3064928</x:v>
      </x:c>
      <x:c r="W101" s="13"/>
      <x:c r="X101" s="17" t="str"/>
      <x:c r="Y101" s="7" t="str">
        <x:v>研究／方法</x:v>
      </x:c>
    </x:row>
    <x:row r="102" ht="40" customHeight="1">
      <x:c r="A102" s="7" t="str">
        <x:v>O78</x:v>
      </x:c>
      <x:c r="B102" s="7" t="str">
        <x:v>3.2 动态任务与多资源联合调度</x:v>
      </x:c>
      <x:c r="C102" s="7" t="str">
        <x:v>无额外章节</x:v>
      </x:c>
      <x:c r="D102" s="7" t="str">
        <x:v>Q13、Q15</x:v>
      </x:c>
      <x:c r="E102" s="7" t="str">
        <x:v>队列、信道和负载变化时，如何共同决定卸载位置与资源？</x:v>
      </x:c>
      <x:c r="F102" s="7" t="str">
        <x:v>Deep Multiagent Reinforcement Learning for Task Offloading and Resource Allocation in Satellite Edge Computing</x:v>
      </x:c>
      <x:c r="G102" s="7" t="str">
        <x:v>卫星边缘计算任务卸载与资源分配的深度多智能体强化学习</x:v>
      </x:c>
      <x:c r="H102" s="14" t="str">
        <x:v>10.1109/JIOT.2024.3482290</x:v>
      </x:c>
      <x:c r="I102" s="12" t="n">
        <x:v>2025</x:v>
      </x:c>
      <x:c r="J102" s="7" t="str">
        <x:v>IEEE Internet of Things Journal</x:v>
      </x:c>
      <x:c r="K102" s="7" t="str">
        <x:v>MATORA将混合整数非线性问题分解为多智能体卸载决策与凸资源优化，最小化加权时延。</x:v>
      </x:c>
      <x:c r="L102" s="7" t="str">
        <x:v>动态队列、信道与任务负载；完整容量模型待提取。</x:v>
      </x:c>
      <x:c r="M102" s="7" t="str">
        <x:v>动态计算网络仿真与基线比较。</x:v>
      </x:c>
      <x:c r="N102" s="7" t="str">
        <x:v>IEEE出版社摘要</x:v>
      </x:c>
      <x:c r="O102" s="7" t="str">
        <x:v>沿用前轮提取；待完整全文核查</x:v>
      </x:c>
      <x:c r="P102" s="7" t="str">
        <x:v>尚无经全文核查的精确页码、章节或图表位置。</x:v>
      </x:c>
      <x:c r="Q102" s="7" t="str">
        <x:v>补充星上计算资源与任务服务时延，为资源协同提供相邻方法。</x:v>
      </x:c>
      <x:c r="R102" s="7" t="str">
        <x:v>卸载模型的资源优化不同于轨道任务调度；训练规模与计算成本待核。
2024年在线、2025年卷期。</x:v>
      </x:c>
      <x:c r="S102" s="7" t="str">
        <x:v>背景或方法参照</x:v>
      </x:c>
      <x:c r="T102" s="7" t="str">
        <x:v>提取变量、任务链、目标、窗口、资源动态与不确定性；确认收益是否需要实际完成或交付。</x:v>
      </x:c>
      <x:c r="U102" s="16" t="str"/>
      <x:c r="V102" s="7" t="str">
        <x:v>https://doi.org/10.1109/JIOT.2024.3482290</x:v>
      </x:c>
      <x:c r="W102" s="13"/>
      <x:c r="X102" s="17" t="str"/>
      <x:c r="Y102" s="7" t="str">
        <x:v>研究／方法</x:v>
      </x:c>
    </x:row>
    <x:row r="103" ht="40" customHeight="1">
      <x:c r="A103" s="7" t="str">
        <x:v>O79</x:v>
      </x:c>
      <x:c r="B103" s="7" t="str">
        <x:v>3.2 动态任务与多资源联合调度</x:v>
      </x:c>
      <x:c r="C103" s="7" t="str">
        <x:v>无额外章节</x:v>
      </x:c>
      <x:c r="D103" s="7" t="str">
        <x:v>Q13</x:v>
      </x:c>
      <x:c r="E103" s="7" t="str">
        <x:v>如何在多层计算位置之间权衡任务时延与能耗？</x:v>
      </x:c>
      <x:c r="F103" s="7" t="str">
        <x:v>Latency-Energy Efficient Task Offloading in the Satellite Network-Assisted Edge Computing via Deep Reinforcement Learning</x:v>
      </x:c>
      <x:c r="G103" s="7" t="str">
        <x:v>基于深度强化学习的卫星网络辅助边缘计算时延—能耗高效任务卸载</x:v>
      </x:c>
      <x:c r="H103" s="14" t="str">
        <x:v>10.1109/TMC.2024.3502643</x:v>
      </x:c>
      <x:c r="I103" s="12" t="n">
        <x:v>2025</x:v>
      </x:c>
      <x:c r="J103" s="7" t="str">
        <x:v>IEEE Transactions on Mobile Computing</x:v>
      </x:c>
      <x:c r="K103" s="7" t="str">
        <x:v>SGTO卸载模型、MDP与GePPO深度强化学习。</x:v>
      </x:c>
      <x:c r="L103" s="7" t="str">
        <x:v>通信和计算资源及多层时延／能耗；参数范围待提取。</x:v>
      </x:c>
      <x:c r="M103" s="7" t="str">
        <x:v>分层星地计算网络仿真。</x:v>
      </x:c>
      <x:c r="N103" s="7" t="str">
        <x:v>IEEE出版社摘要</x:v>
      </x:c>
      <x:c r="O103" s="7" t="str">
        <x:v>沿用前轮提取；待完整全文核查</x:v>
      </x:c>
      <x:c r="P103" s="7" t="str">
        <x:v>尚无经全文核查的精确页码、章节或图表位置。</x:v>
      </x:c>
      <x:c r="Q103" s="7" t="str">
        <x:v>把任务卸载放入星地分层协同，而非只讨论星上算法。</x:v>
      </x:c>
      <x:c r="R103" s="7" t="str">
        <x:v>含GEO和地面云的系统假设；不能无修改套用于纯LEO自主星座。
2024年在线、2025年卷期。</x:v>
      </x:c>
      <x:c r="S103" s="7" t="str">
        <x:v>背景或方法参照</x:v>
      </x:c>
      <x:c r="T103" s="7" t="str">
        <x:v>提取变量、任务链、目标、窗口、资源动态与不确定性；确认收益是否需要实际完成或交付。</x:v>
      </x:c>
      <x:c r="U103" s="16" t="str"/>
      <x:c r="V103" s="7" t="str">
        <x:v>https://ieeexplore.ieee.org/abstract/document/10758345
https://doi.org/10.1109/TMC.2024.3502643</x:v>
      </x:c>
      <x:c r="W103" s="13"/>
      <x:c r="X103" s="17" t="str"/>
      <x:c r="Y103" s="7" t="str">
        <x:v>研究／方法</x:v>
      </x:c>
    </x:row>
    <x:row r="104" ht="40" customHeight="1">
      <x:c r="A104" s="7" t="str">
        <x:v>O80</x:v>
      </x:c>
      <x:c r="B104" s="7" t="str">
        <x:v>3.2 动态任务与多资源联合调度</x:v>
      </x:c>
      <x:c r="C104" s="7" t="str">
        <x:v>无额外章节</x:v>
      </x:c>
      <x:c r="D104" s="7" t="str">
        <x:v>Q13、Q15</x:v>
      </x:c>
      <x:c r="E104" s="7" t="str">
        <x:v>如何联合分配功率、CPU、任务比特和带宽，以降低地面终端能耗？</x:v>
      </x:c>
      <x:c r="F104" s="7" t="str">
        <x:v>Multi-agent reinforcement learning based computation offloading and resource allocation for LEO Satellite edge computing networks</x:v>
      </x:c>
      <x:c r="G104" s="7" t="str">
        <x:v>LEO卫星边缘计算网络中基于多智能体强化学习的计算卸载与资源分配</x:v>
      </x:c>
      <x:c r="H104" s="14" t="str">
        <x:v>10.1016/j.comcom.2024.05.008</x:v>
      </x:c>
      <x:c r="I104" s="12" t="n">
        <x:v>2024</x:v>
      </x:c>
      <x:c r="J104" s="7" t="str">
        <x:v>Computer Communications</x:v>
      </x:c>
      <x:c r="K104" s="7" t="str">
        <x:v>MADDPG，集中训练、分散执行；全局奖励协调多个资源变量。</x:v>
      </x:c>
      <x:c r="L104" s="7" t="str">
        <x:v>任务时延、发射功率与带宽；计算频率、卸载和比特分配。</x:v>
      </x:c>
      <x:c r="M104" s="7" t="str">
        <x:v>计算卸载仿真与方法比较。</x:v>
      </x:c>
      <x:c r="N104" s="7" t="str">
        <x:v>出版社摘要与方法介绍</x:v>
      </x:c>
      <x:c r="O104" s="7" t="str">
        <x:v>沿用前轮提取；待完整全文核查</x:v>
      </x:c>
      <x:c r="P104" s="7" t="str">
        <x:v>尚无经全文核查的精确页码、章节或图表位置。</x:v>
      </x:c>
      <x:c r="Q104" s="7" t="str">
        <x:v>补齐集中训练与分散执行的代表结构，并明确优化目标作用于谁。</x:v>
      </x:c>
      <x:c r="R104" s="7" t="str">
        <x:v>主要能耗目标是地面终端；不可误记为星上电池寿命优化。
2024年正式期刊论文。</x:v>
      </x:c>
      <x:c r="S104" s="7" t="str">
        <x:v>背景或方法参照</x:v>
      </x:c>
      <x:c r="T104" s="7" t="str">
        <x:v>提取分解、算法作用位置、可行性检查、信息交换、网络异常、理论前提和训练／在线总成本。</x:v>
      </x:c>
      <x:c r="U104" s="16" t="str"/>
      <x:c r="V104" s="7" t="str">
        <x:v>https://www.sciencedirect.com/science/article/pii/S0140366424001828
https://doi.org/10.1016/j.comcom.2024.05.008</x:v>
      </x:c>
      <x:c r="W104" s="13"/>
      <x:c r="X104" s="17" t="str"/>
      <x:c r="Y104" s="7" t="str">
        <x:v>研究／方法</x:v>
      </x:c>
    </x:row>
    <x:row r="105" ht="40" customHeight="1">
      <x:c r="A105" s="7" t="str">
        <x:v>O81</x:v>
      </x:c>
      <x:c r="B105" s="7" t="str">
        <x:v>3.2 动态任务与多资源联合调度</x:v>
      </x:c>
      <x:c r="C105" s="7" t="str">
        <x:v>无额外章节</x:v>
      </x:c>
      <x:c r="D105" s="7" t="str">
        <x:v>Q13、Q11</x:v>
      </x:c>
      <x:c r="E105" s="7" t="str">
        <x:v>如何分配推理任务，使时延、能耗和精度共同影响决策？</x:v>
      </x:c>
      <x:c r="F105" s="7" t="str">
        <x:v>Satellite Edge Intelligence: DRL-Based Resource Management for Task Inference in LEO-Based Satellite-Ground Collaborative Networks</x:v>
      </x:c>
      <x:c r="G105" s="7" t="str">
        <x:v>卫星边缘智能：LEO星地协同网络任务推理的深度强化学习资源管理</x:v>
      </x:c>
      <x:c r="H105" s="14" t="str">
        <x:v>10.1109/TMC.2025.3570799</x:v>
      </x:c>
      <x:c r="I105" s="12" t="n">
        <x:v>2025</x:v>
      </x:c>
      <x:c r="J105" s="7" t="str">
        <x:v>IEEE Transactions on Mobile Computing</x:v>
      </x:c>
      <x:c r="K105" s="7" t="str">
        <x:v>SD3深度强化学习结合数值优化，决定推理卸载与相关资源。</x:v>
      </x:c>
      <x:c r="L105" s="7" t="str">
        <x:v>功率预算、覆盖窗口、推理精度与时延成本。</x:v>
      </x:c>
      <x:c r="M105" s="7" t="str">
        <x:v>星地协同推理仿真与比较。</x:v>
      </x:c>
      <x:c r="N105" s="7" t="str">
        <x:v>IEEE出版社摘要</x:v>
      </x:c>
      <x:c r="O105" s="7" t="str">
        <x:v>沿用前轮提取；待完整全文核查</x:v>
      </x:c>
      <x:c r="P105" s="7" t="str">
        <x:v>尚无经全文核查的精确页码、章节或图表位置。</x:v>
      </x:c>
      <x:c r="Q105" s="7" t="str">
        <x:v>增加星载AI作为被调度工作负载的视角。</x:v>
      </x:c>
      <x:c r="R105" s="7" t="str">
        <x:v>推理精度与任务收益需要明确映射；算法收敛不自动等于全局最优。
2025年在线与正式卷期。</x:v>
      </x:c>
      <x:c r="S105" s="7" t="str">
        <x:v>背景或方法参照</x:v>
      </x:c>
      <x:c r="T105" s="7" t="str">
        <x:v>提取变量、任务链、目标、窗口、资源动态与不确定性；确认收益是否需要实际完成或交付。</x:v>
      </x:c>
      <x:c r="U105" s="16" t="str"/>
      <x:c r="V105" s="7" t="str">
        <x:v>https://ieeexplore.ieee.org/document/11005988/
https://doi.org/10.1109/TMC.2025.3570799</x:v>
      </x:c>
      <x:c r="W105" s="13"/>
      <x:c r="X105" s="17" t="str"/>
      <x:c r="Y105" s="7" t="str">
        <x:v>研究／方法</x:v>
      </x:c>
    </x:row>
    <x:row r="106" ht="40" customHeight="1">
      <x:c r="A106" s="7" t="str">
        <x:v>O82</x:v>
      </x:c>
      <x:c r="B106" s="7" t="str">
        <x:v>3.2 动态任务与多资源联合调度</x:v>
      </x:c>
      <x:c r="C106" s="7" t="str">
        <x:v>无额外章节</x:v>
      </x:c>
      <x:c r="D106" s="7" t="str">
        <x:v>Q13</x:v>
      </x:c>
      <x:c r="E106" s="7" t="str">
        <x:v>如何协调功率、带宽与跳波束时段，提高载荷资源利用？</x:v>
      </x:c>
      <x:c r="F106" s="7" t="str">
        <x:v>Joint power and bandwidth allocation for beam-hopping user downlinks in smart gateway multibeam satellite systems</x:v>
      </x:c>
      <x:c r="G106" s="7" t="str">
        <x:v>智能网关多波束卫星系统跳波束用户下行链路的联合功率与带宽分配</x:v>
      </x:c>
      <x:c r="H106" s="14" t="str">
        <x:v>10.1177/1550147717709461</x:v>
      </x:c>
      <x:c r="I106" s="12" t="n">
        <x:v>2017</x:v>
      </x:c>
      <x:c r="J106" s="7" t="str">
        <x:v>International Journal of Distributed Sensor Networks</x:v>
      </x:c>
      <x:c r="K106" s="7" t="str">
        <x:v>将联合资源问题分解为单变量子问题迭代求解；具体时间／带宽关系待提取。</x:v>
      </x:c>
      <x:c r="L106" s="7" t="str">
        <x:v>功率和带宽预算、跳波束与业务需求。</x:v>
      </x:c>
      <x:c r="M106" s="7" t="str">
        <x:v>多波束系统数值仿真。</x:v>
      </x:c>
      <x:c r="N106" s="7" t="str">
        <x:v>出版社摘要</x:v>
      </x:c>
      <x:c r="O106" s="7" t="str">
        <x:v>沿用前轮提取；待完整全文核查</x:v>
      </x:c>
      <x:c r="P106" s="7" t="str">
        <x:v>尚无经全文核查的精确页码、章节或图表位置。</x:v>
      </x:c>
      <x:c r="Q106" s="7" t="str">
        <x:v>为资源调度增加传统分解优化方法。</x:v>
      </x:c>
      <x:c r="R106" s="7" t="str">
        <x:v>载荷分配与星座任务协商处于不同决策层；轨道类型未据题名推定为LEO。
2017年正式期刊论文。</x:v>
      </x:c>
      <x:c r="S106" s="7" t="str">
        <x:v>背景或方法参照</x:v>
      </x:c>
      <x:c r="T106" s="7" t="str">
        <x:v>提取变量、任务链、目标、窗口、资源动态与不确定性；确认收益是否需要实际完成或交付。</x:v>
      </x:c>
      <x:c r="U106" s="16" t="str"/>
      <x:c r="V106" s="7" t="str">
        <x:v>https://journals.sagepub.com/doi/10.1177/1550147717709461
https://doi.org/10.1177/1550147717709461</x:v>
      </x:c>
      <x:c r="W106" s="13"/>
      <x:c r="X106" s="17" t="str"/>
      <x:c r="Y106" s="7" t="str">
        <x:v>研究／方法</x:v>
      </x:c>
    </x:row>
    <x:row r="107" ht="40" customHeight="1">
      <x:c r="A107" s="7" t="str">
        <x:v>O83</x:v>
      </x:c>
      <x:c r="B107" s="7" t="str">
        <x:v>3.2 动态任务与多资源联合调度</x:v>
      </x:c>
      <x:c r="C107" s="7" t="str">
        <x:v>无额外章节</x:v>
      </x:c>
      <x:c r="D107" s="7" t="str">
        <x:v>Q13</x:v>
      </x:c>
      <x:c r="E107" s="7" t="str">
        <x:v>业务需求变化时，如何快速分配连续功率和带宽变量？</x:v>
      </x:c>
      <x:c r="F107" s="7" t="str">
        <x:v>A novel deep reinforcement learning architecture for dynamic power and bandwidth allocation in multibeam satellites</x:v>
      </x:c>
      <x:c r="G107" s="7" t="str">
        <x:v>用于多波束卫星动态功率与带宽分配的新型深度强化学习架构</x:v>
      </x:c>
      <x:c r="H107" s="14" t="str">
        <x:v>10.1016/j.actaastro.2022.12.018</x:v>
      </x:c>
      <x:c r="I107" s="12" t="n">
        <x:v>2023</x:v>
      </x:c>
      <x:c r="J107" s="7" t="str">
        <x:v>Acta Astronautica</x:v>
      </x:c>
      <x:c r="K107" s="7" t="str">
        <x:v>PPO连续动作资源策略（pbDRL）；以DRL初始化遗传算法形成drlGA。</x:v>
      </x:c>
      <x:c r="L107" s="7" t="str">
        <x:v>功率、带宽和需求；目标为降低未满足系统容量。</x:v>
      </x:c>
      <x:c r="M107" s="7" t="str">
        <x:v>与遗传算法、粒子群等优化方法比较。</x:v>
      </x:c>
      <x:c r="N107" s="7" t="str">
        <x:v>出版社摘要与算法概述</x:v>
      </x:c>
      <x:c r="O107" s="7" t="str">
        <x:v>沿用前轮提取；待完整全文核查</x:v>
      </x:c>
      <x:c r="P107" s="7" t="str">
        <x:v>尚无经全文核查的精确页码、章节或图表位置。</x:v>
      </x:c>
      <x:c r="Q107" s="7" t="str">
        <x:v>作为学习策略辅助搜索的混合方法例子。</x:v>
      </x:c>
      <x:c r="R107" s="7" t="str">
        <x:v>学习与优化混合方法需计入训练和在线总成本；不涉及维修艇路径或交会安全。
2022年在线、2023年卷期。</x:v>
      </x:c>
      <x:c r="S107" s="7" t="str">
        <x:v>背景或方法参照</x:v>
      </x:c>
      <x:c r="T107" s="7" t="str">
        <x:v>提取分解、算法作用位置、可行性检查、信息交换、网络异常、理论前提和训练／在线总成本。</x:v>
      </x:c>
      <x:c r="U107" s="16" t="str"/>
      <x:c r="V107" s="7" t="str">
        <x:v>https://www.sciencedirect.com/science/article/pii/S0094576522006907
https://doi.org/10.1016/j.actaastro.2022.12.018</x:v>
      </x:c>
      <x:c r="W107" s="13"/>
      <x:c r="X107" s="17" t="str"/>
      <x:c r="Y107" s="7" t="str">
        <x:v>研究／方法</x:v>
      </x:c>
    </x:row>
    <x:row r="108" ht="40" customHeight="1">
      <x:c r="A108" s="7" t="str">
        <x:v>O84</x:v>
      </x:c>
      <x:c r="B108" s="7" t="str">
        <x:v>3.2 动态任务与多资源联合调度</x:v>
      </x:c>
      <x:c r="C108" s="7" t="str">
        <x:v>3.3 安全执行与异常恢复</x:v>
      </x:c>
      <x:c r="D108" s="7" t="str">
        <x:v>Q17、Q19</x:v>
      </x:c>
      <x:c r="E108" s="7" t="str">
        <x:v>如何根据估计状态和观测信息质量，动态安排传感器？</x:v>
      </x:c>
      <x:c r="F108" s="7" t="str">
        <x:v>Dynamic sensor tasking for Space Situational Awareness</x:v>
      </x:c>
      <x:c r="G108" s="7" t="str">
        <x:v>面向空间态势感知的动态传感器任务分配</x:v>
      </x:c>
      <x:c r="H108" s="14" t="str">
        <x:v>10.1109/ACC.2010.5530989</x:v>
      </x:c>
      <x:c r="I108" s="12" t="n">
        <x:v>2010</x:v>
      </x:c>
      <x:c r="J108" s="7" t="str">
        <x:v>Proceedings of the 2010 American Control Conference</x:v>
      </x:c>
      <x:c r="K108" s="7" t="str">
        <x:v>集中式EKF估计位置／速度，基于Fisher信息和任务指标进行传感器分配。</x:v>
      </x:c>
      <x:c r="L108" s="7" t="str">
        <x:v>简化运动模型、传感器可用性与测量信息。</x:v>
      </x:c>
      <x:c r="M108" s="7" t="str">
        <x:v>原始论文数值示例。</x:v>
      </x:c>
      <x:c r="N108" s="7" t="str">
        <x:v>作者公开全文</x:v>
      </x:c>
      <x:c r="O108" s="7" t="str">
        <x:v>沿用前轮提取；待完整全文核查</x:v>
      </x:c>
      <x:c r="P108" s="7" t="str">
        <x:v>尚无经全文核查的精确页码、章节或图表位置。</x:v>
      </x:c>
      <x:c r="Q108" s="7" t="str">
        <x:v>补齐估计—任务分配闭环及信息论资源目标。</x:v>
      </x:c>
      <x:c r="R108" s="7" t="str">
        <x:v>二维模型与启发式任务度量；不是高保真星座规避闭环或强化学习论文。
2010年American Control Conference会议论文。</x:v>
      </x:c>
      <x:c r="S108" s="7" t="str">
        <x:v>背景或方法参照</x:v>
      </x:c>
      <x:c r="T108" s="7" t="str">
        <x:v>提取变量、任务链、目标、窗口、资源动态与不确定性；确认收益是否需要实际完成或交付。</x:v>
      </x:c>
      <x:c r="U108" s="16" t="str"/>
      <x:c r="V108" s="7" t="str">
        <x:v>https://ece-research.unm.edu/cisl/publication/MSN/conf_2010_06_01.pdf
https://doi.org/10.1109/ACC.2010.5530989</x:v>
      </x:c>
      <x:c r="W108" s="13"/>
      <x:c r="X108" s="17" t="str"/>
      <x:c r="Y108" s="7" t="str">
        <x:v>研究／方法</x:v>
      </x:c>
    </x:row>
    <x:row r="109" ht="40" customHeight="1">
      <x:c r="A109" s="7" t="str">
        <x:v>O86</x:v>
      </x:c>
      <x:c r="B109" s="7" t="str">
        <x:v>3.2 动态任务与多资源联合调度</x:v>
      </x:c>
      <x:c r="C109" s="7" t="str">
        <x:v>无额外章节</x:v>
      </x:c>
      <x:c r="D109" s="7" t="str">
        <x:v>Q17</x:v>
      </x:c>
      <x:c r="E109" s="7" t="str">
        <x:v>如何在多目标跟踪中计算观测信息收益并协调传感器？</x:v>
      </x:c>
      <x:c r="F109" s="7" t="str">
        <x:v>Multisensor Tasking Using Analytical Rényi Divergence in Labeled Multi-Bernoulli Filtering</x:v>
      </x:c>
      <x:c r="G109" s="7" t="str">
        <x:v>标记多伯努利滤波中利用解析Rényi散度的多传感器任务分配</x:v>
      </x:c>
      <x:c r="H109" s="14" t="str">
        <x:v>10.2514/1.G004232</x:v>
      </x:c>
      <x:c r="I109" s="12" t="n">
        <x:v>2019</x:v>
      </x:c>
      <x:c r="J109" s="7" t="str">
        <x:v>Journal of Guidance, Control, and Dynamics</x:v>
      </x:c>
      <x:c r="K109" s="7" t="str">
        <x:v>标记多伯努利（LMB）滤波与解析Rényi散度，支持多传感器任务评价。</x:v>
      </x:c>
      <x:c r="L109" s="7" t="str">
        <x:v>跟踪与融合模型、传感器可见性；漏检等假设待提取。</x:v>
      </x:c>
      <x:c r="M109" s="7" t="str">
        <x:v>作者公开论文与图示。</x:v>
      </x:c>
      <x:c r="N109" s="7" t="str">
        <x:v>作者公开论文的摘要与图示</x:v>
      </x:c>
      <x:c r="O109" s="7" t="str">
        <x:v>沿用前轮提取；待完整全文核查</x:v>
      </x:c>
      <x:c r="P109" s="7" t="str">
        <x:v>尚无经全文核查的精确页码、章节或图表位置。</x:v>
      </x:c>
      <x:c r="Q109" s="7" t="str">
        <x:v>补充互信息之外的感知收益度量与多目标概率跟踪。</x:v>
      </x:c>
      <x:c r="R109" s="7" t="str">
        <x:v>解析散度依赖特定滤波模型；不会自动给出轨道碰撞风险或调度最优性。
2019年Engineering Note；保留Rényi重音字母。</x:v>
      </x:c>
      <x:c r="S109" s="7" t="str">
        <x:v>背景或方法参照</x:v>
      </x:c>
      <x:c r="T109" s="7" t="str">
        <x:v>提取变量、任务链、目标、窗口、资源动态与不确定性；确认收益是否需要实际完成或交付。</x:v>
      </x:c>
      <x:c r="U109" s="16" t="str"/>
      <x:c r="V109" s="7" t="str">
        <x:v>https://arc.aiaa.org/doi/10.2514/1.G004232
https://www.researchgate.net/publication/333735644_Multisensor_Tasking_Using_Analytical_Renyi_Divergence_in_Labeled_Multi-Bernoulli_Filtering
https://doi.org/10.2514/1.G004232</x:v>
      </x:c>
      <x:c r="W109" s="13"/>
      <x:c r="X109" s="17" t="str"/>
      <x:c r="Y109" s="7" t="str">
        <x:v>研究／方法</x:v>
      </x:c>
    </x:row>
    <x:row r="110" ht="40" customHeight="1">
      <x:c r="A110" s="7" t="str">
        <x:v>O87</x:v>
      </x:c>
      <x:c r="B110" s="7" t="str">
        <x:v>3.2 动态任务与多资源联合调度</x:v>
      </x:c>
      <x:c r="C110" s="7" t="str">
        <x:v>无额外章节</x:v>
      </x:c>
      <x:c r="D110" s="7" t="str">
        <x:v>Q17、Q09</x:v>
      </x:c>
      <x:c r="E110" s="7" t="str">
        <x:v>有限视场和转动时间下，如何选择观测目标并保持跟踪质量？</x:v>
      </x:c>
      <x:c r="F110" s="7" t="str">
        <x:v>Space-Based Sensor Tasking Using Deep Reinforcement Learning</x:v>
      </x:c>
      <x:c r="G110" s="7" t="str">
        <x:v>基于深度强化学习的天基传感器任务分配</x:v>
      </x:c>
      <x:c r="H110" s="14" t="str">
        <x:v>10.1007/s40295-022-00354-8</x:v>
      </x:c>
      <x:c r="I110" s="12" t="n">
        <x:v>2022</x:v>
      </x:c>
      <x:c r="J110" s="7" t="str">
        <x:v>The Journal of the Astronautical Sciences</x:v>
      </x:c>
      <x:c r="K110" s="7" t="str">
        <x:v>PPO、基于种群的训练（PBT）与UKF估计；策略按观测状态选择动作。</x:v>
      </x:c>
      <x:c r="L110" s="7" t="str">
        <x:v>4°×4°视场、2°/s转动、4秒稳定时间；高斯噪声、完美数据关联与检测概率为1。</x:v>
      </x:c>
      <x:c r="M110" s="7" t="str">
        <x:v>出版社全文的传感器仿真与泛化测试。</x:v>
      </x:c>
      <x:c r="N110" s="7" t="str">
        <x:v>出版社全文的模型与实验节定向阅读</x:v>
      </x:c>
      <x:c r="O110" s="7" t="str">
        <x:v>沿用前轮提取；待完整全文核查</x:v>
      </x:c>
      <x:c r="P110" s="7" t="str">
        <x:v>尚无经全文核查的精确页码、章节或图表位置。</x:v>
      </x:c>
      <x:c r="Q110" s="7" t="str">
        <x:v>提供规模、泛化及传感器假设可逐项对比的学习例子。</x:v>
      </x:c>
      <x:c r="R110" s="7" t="str">
        <x:v>800是被观测目标数，非800颗调度卫星；忽略距离／照明导致的检测变化。
2022年正式论文；有大目标集不等于大观测星座。</x:v>
      </x:c>
      <x:c r="S110" s="7" t="str">
        <x:v>背景或方法参照</x:v>
      </x:c>
      <x:c r="T110" s="7" t="str">
        <x:v>提取分解、算法作用位置、可行性检查、信息交换、网络异常、理论前提和训练／在线总成本。</x:v>
      </x:c>
      <x:c r="U110" s="16" t="str"/>
      <x:c r="V110" s="7" t="str">
        <x:v>https://link.springer.com/article/10.1007/s40295-022-00354-8
https://doi.org/10.1007/s40295-022-00354-8</x:v>
      </x:c>
      <x:c r="W110" s="13"/>
      <x:c r="X110" s="17" t="str"/>
      <x:c r="Y110" s="7" t="str">
        <x:v>研究／方法</x:v>
      </x:c>
    </x:row>
    <x:row r="111" ht="40" customHeight="1">
      <x:c r="A111" s="7" t="str">
        <x:v>O89</x:v>
      </x:c>
      <x:c r="B111" s="7" t="str">
        <x:v>3.2 动态任务与多资源联合调度</x:v>
      </x:c>
      <x:c r="C111" s="7" t="str">
        <x:v>无额外章节</x:v>
      </x:c>
      <x:c r="D111" s="7" t="str">
        <x:v>Q17、Q09</x:v>
      </x:c>
      <x:c r="E111" s="7" t="str">
        <x:v>如何协调多个天基光学平台，覆盖数量很大的空间目标目录？</x:v>
      </x:c>
      <x:c r="F111" s="7" t="str">
        <x:v>Optimal Tasking and Scheduling of Satellite Constellations for Space Situational Awareness</x:v>
      </x:c>
      <x:c r="G111" s="7" t="str">
        <x:v>面向空间态势感知的卫星星座最优任务分配与调度</x:v>
      </x:c>
      <x:c r="H111" s="14" t="str">
        <x:v>10.64861/KSZU1223</x:v>
      </x:c>
      <x:c r="I111" s="12" t="n">
        <x:v>2025</x:v>
      </x:c>
      <x:c r="J111" s="7" t="str">
        <x:v>AMOS 2025 Technical Papers</x:v>
      </x:c>
      <x:c r="K111" s="7" t="str">
        <x:v>修改后的序贯分配问题（SAP）建模，结合光学观测物理与可行性条件。</x:v>
      </x:c>
      <x:c r="L111" s="7" t="str">
        <x:v>光学探测、姿态指向、目标观测机会和时域；最优性范围待正文核对。</x:v>
      </x:c>
      <x:c r="M111" s="7" t="str">
        <x:v>运行规模的仿真；含较小规模的地基／天基比较。</x:v>
      </x:c>
      <x:c r="N111" s="7" t="str">
        <x:v>AMOS官方论文页完整摘要</x:v>
      </x:c>
      <x:c r="O111" s="7" t="str">
        <x:v>沿用前轮提取；待完整全文核查</x:v>
      </x:c>
      <x:c r="P111" s="7" t="str">
        <x:v>尚无经全文核查的精确页码、章节或图表位置。</x:v>
      </x:c>
      <x:c r="Q111" s="7" t="str">
        <x:v>提供大目标目录与多平台调度的较强规模证据，补齐空间目标管理。</x:v>
      </x:c>
      <x:c r="R111" s="7" t="str">
        <x:v>大目录仿真不等于实际飞行验证；目标数量与观测平台数量必须分开。
AMOS 2025会议论文；正式页面DOI与Crossref记录一致。</x:v>
      </x:c>
      <x:c r="S111" s="7" t="str">
        <x:v>背景或方法参照</x:v>
      </x:c>
      <x:c r="T111" s="7" t="str">
        <x:v>提取变量、任务链、目标、窗口、资源动态与不确定性；确认收益是否需要实际完成或交付。</x:v>
      </x:c>
      <x:c r="U111" s="16" t="str"/>
      <x:c r="V111" s="7" t="str">
        <x:v>https://amostech.space/year/2025/optimal-tasking-and-scheduling-of-satellite-constellations-for-space-situational-awareness/
https://doi.org/10.64861/KSZU1223</x:v>
      </x:c>
      <x:c r="W111" s="13"/>
      <x:c r="X111" s="17" t="str"/>
      <x:c r="Y111" s="7" t="str">
        <x:v>研究／方法</x:v>
      </x:c>
    </x:row>
    <x:row r="112" ht="54" customHeight="1">
      <x:c r="A112" s="7" t="str">
        <x:v>O92</x:v>
      </x:c>
      <x:c r="B112" s="7" t="str">
        <x:v>3.2 动态任务与多资源联合调度</x:v>
      </x:c>
      <x:c r="C112" s="7" t="str">
        <x:v>3.4 跨层耦合与闭环协同
4 综合评价与研究展望</x:v>
      </x:c>
      <x:c r="D112" s="7" t="str">
        <x:v>Q15、Q21、Q22</x:v>
      </x:c>
      <x:c r="E112" s="7" t="str">
        <x:v>任务持续到达并执行时，如何修复分布式计划而非从头求解？</x:v>
      </x:c>
      <x:c r="F112" s="7" t="str">
        <x:v>Large-Scale Continual Scheduling and Execution for Dynamic Distributed Satellite Constellation Observation Allocation</x:v>
      </x:c>
      <x:c r="G112" s="7" t="str">
        <x:v>动态分布式卫星星座观测分配的大规模持续调度与执行</x:v>
      </x:c>
      <x:c r="H112" s="14" t="str">
        <x:v>10.65109/JCYH5778</x:v>
      </x:c>
      <x:c r="I112" s="12" t="n">
        <x:v>2026</x:v>
      </x:c>
      <x:c r="J112" s="7" t="str">
        <x:v>Proceedings of the 25th International Conference on Autonomous Agents and Multiagent Systems</x:v>
      </x:c>
      <x:c r="K112" s="7" t="str">
        <x:v>动态DCOP、执行感知的D-NSS调度修复；与具有完整未来信息的离线参照比较。</x:v>
      </x:c>
      <x:c r="L112" s="7" t="str">
        <x:v>时变任务和执行状态、局部通信与重规划；摘要篇幅有限。</x:v>
      </x:c>
      <x:c r="M112" s="7" t="str">
        <x:v>AAMAS会议扩展摘要与作者关联预印本；FAME属于应用／后续计划。</x:v>
      </x:c>
      <x:c r="N112" s="7" t="str">
        <x:v>正式会议编目与作者早期预印本摘要</x:v>
      </x:c>
      <x:c r="O112" s="7" t="str">
        <x:v>沿用前轮提取；待完整全文核查</x:v>
      </x:c>
      <x:c r="P112" s="7" t="str">
        <x:v>尚无经全文核查的精确页码、章节或图表位置。</x:v>
      </x:c>
      <x:c r="Q112" s="7" t="str">
        <x:v>从静态分配延伸到持续执行，用于动态性与未来方向的讨论。</x:v>
      </x:c>
      <x:c r="R112" s="7" t="str">
        <x:v>不能把长稿新版的全部结论归入会议摘要；没有据此确认FAME飞行验证。
正式AAMAS 2026扩展摘要。关联arXiv:2601.06188在v4（2026-08-01）改题为Scalable Dynamic Distributed Constraint Optimization with Metareasoning and Application to Continual Satellite Operations；不另计数。</x:v>
      </x:c>
      <x:c r="S112" s="7" t="str">
        <x:v>背景或方法参照</x:v>
      </x:c>
      <x:c r="T112" s="7" t="str">
        <x:v>提取分解、算法作用位置、可行性检查、信息交换、网络异常、理论前提和训练／在线总成本。</x:v>
      </x:c>
      <x:c r="U112" s="16" t="str"/>
      <x:c r="V112" s="7" t="str">
        <x:v>https://dl.acm.org/doi/10.65109/JCYH5778
https://arxiv.org/abs/2601.06188v1
https://doi.org/10.65109/JCYH5778</x:v>
      </x:c>
      <x:c r="W112" s="13"/>
      <x:c r="X112" s="17" t="str"/>
      <x:c r="Y112" s="7" t="str">
        <x:v>研究／方法</x:v>
      </x:c>
    </x:row>
    <x:row r="113" ht="38" customHeight="1">
      <x:c r="A113" s="7" t="str">
        <x:v>O93</x:v>
      </x:c>
      <x:c r="B113" s="7" t="str">
        <x:v>3.2 动态任务与多资源联合调度</x:v>
      </x:c>
      <x:c r="C113" s="7" t="str">
        <x:v>无额外章节</x:v>
      </x:c>
      <x:c r="D113" s="7" t="str">
        <x:v>Q15、Q16</x:v>
      </x:c>
      <x:c r="E113" s="7" t="str">
        <x:v>如何在去中心化竞价中消除冲突，并分配多个任务？</x:v>
      </x:c>
      <x:c r="F113" s="7" t="str">
        <x:v>Consensus-Based Decentralized Auctions for Robust Task Allocation</x:v>
      </x:c>
      <x:c r="G113" s="7" t="str">
        <x:v>用于鲁棒任务分配的基于一致性的去中心化拍卖</x:v>
      </x:c>
      <x:c r="H113" s="14" t="str">
        <x:v>10.1109/TRO.2009.2022423</x:v>
      </x:c>
      <x:c r="I113" s="12" t="n">
        <x:v>2009</x:v>
      </x:c>
      <x:c r="J113" s="7" t="str">
        <x:v>IEEE Transactions on Robotics</x:v>
      </x:c>
      <x:c r="K113" s="7" t="str">
        <x:v>CBAA与CBBA，将局部竞价、任务包构造与一致性机制结合。</x:v>
      </x:c>
      <x:c r="L113" s="7" t="str">
        <x:v>网络与评分函数条件；收敛和最坏情形结果有明确前提。</x:v>
      </x:c>
      <x:c r="M113" s="7" t="str">
        <x:v>算法理论与通用任务分配实验。</x:v>
      </x:c>
      <x:c r="N113" s="7" t="str">
        <x:v>IEEE出版社摘要与理论概述</x:v>
      </x:c>
      <x:c r="O113" s="7" t="str">
        <x:v>沿用前轮提取；待完整全文核查</x:v>
      </x:c>
      <x:c r="P113" s="7" t="str">
        <x:v>尚无经全文核查的精确页码、章节或图表位置。</x:v>
      </x:c>
      <x:c r="Q113" s="7" t="str">
        <x:v>交代后续星座竞价论文的算法来源，避免把派生算法当作独立原理。</x:v>
      </x:c>
      <x:c r="R113" s="7" t="str">
        <x:v>这篇原始CBBA论文不是卫星星座实验；理论结论需在卫星评分与通信条件下重新检查。
2009年IEEE Transactions on Robotics经典方法论文。</x:v>
      </x:c>
      <x:c r="S113" s="7" t="str">
        <x:v>背景或方法参照</x:v>
      </x:c>
      <x:c r="T113" s="7" t="str">
        <x:v>提取分解、算法作用位置、可行性检查、信息交换、网络异常、理论前提和训练／在线总成本。</x:v>
      </x:c>
      <x:c r="U113" s="16" t="str"/>
      <x:c r="V113" s="7" t="str">
        <x:v>https://ieeexplore.ieee.org/document/5072249/
https://doi.org/10.1109/TRO.2009.2022423</x:v>
      </x:c>
      <x:c r="W113" s="13"/>
      <x:c r="X113" s="17" t="str"/>
      <x:c r="Y113" s="7" t="str">
        <x:v>研究／方法</x:v>
      </x:c>
    </x:row>
    <x:row r="114" ht="40" customHeight="1">
      <x:c r="A114" s="7" t="str">
        <x:v>O96</x:v>
      </x:c>
      <x:c r="B114" s="7" t="str">
        <x:v>3.2 动态任务与多资源联合调度</x:v>
      </x:c>
      <x:c r="C114" s="7" t="str">
        <x:v>无额外章节</x:v>
      </x:c>
      <x:c r="D114" s="7" t="str">
        <x:v>Q17、Q12</x:v>
      </x:c>
      <x:c r="E114" s="7" t="str">
        <x:v>如何将空间目标的曝光与跟踪任务映射为共享望远镜的排班问题？</x:v>
      </x:c>
      <x:c r="F114" s="7" t="str">
        <x:v>Multi-Sensor Tasking for Ground-Based Space Situational Awareness via Job-Shop Scheduling Problem</x:v>
      </x:c>
      <x:c r="G114" s="7" t="str">
        <x:v>采用作业车间调度模型的地基空间态势感知多传感器任务分配</x:v>
      </x:c>
      <x:c r="H114" s="14" t="str">
        <x:v>10.1007/s40295-025-00532-4</x:v>
      </x:c>
      <x:c r="I114" s="12" t="n">
        <x:v>2025</x:v>
      </x:c>
      <x:c r="J114" s="7" t="str">
        <x:v>The Journal of the Astronautical Sciences</x:v>
      </x:c>
      <x:c r="K114" s="7" t="str">
        <x:v>作业车间调度建模、二元线性规划与分支定界。</x:v>
      </x:c>
      <x:c r="L114" s="7" t="str">
        <x:v>轨道过境时段、曝光时间、望远镜资源与观测连续性。</x:v>
      </x:c>
      <x:c r="M114" s="7" t="str">
        <x:v>优化模型与数值观测排班实验。</x:v>
      </x:c>
      <x:c r="N114" s="7" t="str">
        <x:v>出版社摘要与作者机构公开稿</x:v>
      </x:c>
      <x:c r="O114" s="7" t="str">
        <x:v>沿用前轮提取；待完整全文核查</x:v>
      </x:c>
      <x:c r="P114" s="7" t="str">
        <x:v>尚无经全文核查的精确页码、章节或图表位置。</x:v>
      </x:c>
      <x:c r="Q114" s="7" t="str">
        <x:v>将SSA调度连接到经典运筹问题，提供学习策略之外的精确模型。</x:v>
      </x:c>
      <x:c r="R114" s="7" t="str">
        <x:v>曝光可行性与信息质量要分开；地基设备与星上指向具有不同资源限制。
2025-11-20期刊论文；关联AAS 25-321前稿不另计数。</x:v>
      </x:c>
      <x:c r="S114" s="7" t="str">
        <x:v>背景或方法参照</x:v>
      </x:c>
      <x:c r="T114" s="7" t="str">
        <x:v>提取变量、任务链、目标、窗口、资源动态与不确定性；确认收益是否需要实际完成或交付。</x:v>
      </x:c>
      <x:c r="U114" s="16" t="str"/>
      <x:c r="V114" s="7" t="str">
        <x:v>https://link.springer.com/article/10.1007/s40295-025-00532-4
https://repository.gatech.edu/entities/publication/aaf2b8e3-fa10-45b0-a548-805425dcd99e
https://doi.org/10.1007/s40295-025-00532-4</x:v>
      </x:c>
      <x:c r="W114" s="13"/>
      <x:c r="X114" s="17" t="str"/>
      <x:c r="Y114" s="7" t="str">
        <x:v>研究／方法</x:v>
      </x:c>
    </x:row>
    <x:row r="115" ht="54" customHeight="1">
      <x:c r="A115" s="7" t="str">
        <x:v>O115</x:v>
      </x:c>
      <x:c r="B115" s="7" t="str">
        <x:v>3.2 动态任务与多资源联合调度</x:v>
      </x:c>
      <x:c r="C115" s="7" t="str">
        <x:v>无额外章节</x:v>
      </x:c>
      <x:c r="D115" s="7" t="str">
        <x:v>Q16、Q15</x:v>
      </x:c>
      <x:c r="E115" s="7" t="str">
        <x:v>市场分配算法如何在消息延迟和丢失时持续更新任务？</x:v>
      </x:c>
      <x:c r="F115" s="7" t="str">
        <x:v>Asynchronous Communication Aware Multi-Agent Task Allocation</x:v>
      </x:c>
      <x:c r="G115" s="7" t="str">
        <x:v>异步通信感知的多智能体任务分配</x:v>
      </x:c>
      <x:c r="H115" s="14" t="str">
        <x:v>10.24963/ijcai.2023/30</x:v>
      </x:c>
      <x:c r="I115" s="12" t="n">
        <x:v>2023</x:v>
      </x:c>
      <x:c r="J115" s="7" t="str">
        <x:v>Proceedings of the Thirty-Second International Joint Conference on Artificial Intelligence</x:v>
      </x:c>
      <x:c r="K115" s="7" t="str">
        <x:v>FMC_ATA，将Fisher市场清算式分配改为异步版本，并响应动态事件。</x:v>
      </x:c>
      <x:c r="L115" s="7" t="str">
        <x:v>通信时延、消息丢失、时空任务；算法条件待全文提取。</x:v>
      </x:c>
      <x:c r="M115" s="7" t="str">
        <x:v>异步分布式与集中式方法比较。</x:v>
      </x:c>
      <x:c r="N115" s="7" t="str">
        <x:v>IJCAI官方论文摘要</x:v>
      </x:c>
      <x:c r="O115" s="7" t="str">
        <x:v>沿用前轮提取；待完整全文核查</x:v>
      </x:c>
      <x:c r="P115" s="7" t="str">
        <x:v>尚无经全文核查的精确页码、章节或图表位置。</x:v>
      </x:c>
      <x:c r="Q115" s="7" t="str">
        <x:v>为卫星异步协商提供相邻算法与比较维度。</x:v>
      </x:c>
      <x:c r="R115" s="7" t="str">
        <x:v>通用多智能体实验，不能记作卫星在轨验证；通信条件下的理论与经验保证须区分。
IJCAI 2023正式会议论文。</x:v>
      </x:c>
      <x:c r="S115" s="7" t="str">
        <x:v>背景或方法参照</x:v>
      </x:c>
      <x:c r="T115" s="7" t="str">
        <x:v>提取分解、算法作用位置、可行性检查、信息交换、网络异常、理论前提和训练／在线总成本。</x:v>
      </x:c>
      <x:c r="U115" s="16" t="str"/>
      <x:c r="V115" s="7" t="str">
        <x:v>https://www.ijcai.org/proceedings/2023/30
https://doi.org/10.24963/ijcai.2023/30</x:v>
      </x:c>
      <x:c r="W115" s="13"/>
      <x:c r="X115" s="17" t="str"/>
      <x:c r="Y115" s="7" t="str">
        <x:v>研究／方法</x:v>
      </x:c>
    </x:row>
    <x:row r="116" ht="68" customHeight="1">
      <x:c r="A116" s="7" t="str">
        <x:v>O128</x:v>
      </x:c>
      <x:c r="B116" s="7" t="str">
        <x:v>3.2 动态任务与多资源联合调度</x:v>
      </x:c>
      <x:c r="C116" s="7" t="str">
        <x:v>4 综合评价与研究展望</x:v>
      </x:c>
      <x:c r="D116" s="7" t="str">
        <x:v>Q13、Q11、Q23</x:v>
      </x:c>
      <x:c r="E116" s="7" t="str">
        <x:v>计算能力有限时，如何筛选并传输更有价值的观测数据？</x:v>
      </x:c>
      <x:c r="F116" s="7" t="str">
        <x:v>Kodan: Addressing the Computational Bottleneck in Space</x:v>
      </x:c>
      <x:c r="G116" s="7" t="str">
        <x:v>Kodan：应对空间计算瓶颈</x:v>
      </x:c>
      <x:c r="H116" s="14" t="str">
        <x:v>10.1145/3582016.3582043</x:v>
      </x:c>
      <x:c r="I116" s="12" t="n">
        <x:v>2023</x:v>
      </x:c>
      <x:c r="J116" s="7" t="str">
        <x:v>Proceedings of the 28th ACM International Conference on Architectural Support for Programming Languages and Operating Systems, Volume 3</x:v>
      </x:c>
      <x:c r="K116" s="7" t="str">
        <x:v>离线生成专用ML模型，运行时按样本地理上下文动态选择模型与处理精度。</x:v>
      </x:c>
      <x:c r="L116" s="7" t="str">
        <x:v>处理计算预算、帧截止时间、饱和下传和数据价值。</x:v>
      </x:c>
      <x:c r="M116" s="7" t="str">
        <x:v>作者公开论文的系统评估；具体硬件与测试配置待全文提取。</x:v>
      </x:c>
      <x:c r="N116" s="7" t="str">
        <x:v>作者机构摘要与正式会议公开稿</x:v>
      </x:c>
      <x:c r="O116" s="7" t="str">
        <x:v>沿用前轮提取；待完整全文核查</x:v>
      </x:c>
      <x:c r="P116" s="7" t="str">
        <x:v>尚无经全文核查的精确页码、章节或图表位置。</x:v>
      </x:c>
      <x:c r="Q116" s="7" t="str">
        <x:v>补齐计算瓶颈和处理精度—价值—下传之间的资源权衡。</x:v>
      </x:c>
      <x:c r="R116" s="7" t="str">
        <x:v>设计用于卫星的运行系统不等于已在轨部署；数据价值指标需与科学任务收益区分。
ASPLOS 2023正式会议论文。</x:v>
      </x:c>
      <x:c r="S116" s="7" t="str">
        <x:v>背景或方法参照</x:v>
      </x:c>
      <x:c r="T116" s="7" t="str">
        <x:v>提取变量、任务链、目标、窗口、资源动态与不确定性；确认收益是否需要实际完成或交付。</x:v>
      </x:c>
      <x:c r="U116" s="16" t="str"/>
      <x:c r="V116" s="7" t="str">
        <x:v>https://www.microsoft.com/en-us/research/publication/kodan-addressing-the-computational-bottleneck-in-space/
https://www.microsoft.com/en-us/research/uploads/prod/2023/08/asplosc23main-p858-p-224936cdce-68637-final.pdf
https://doi.org/10.1145/3582016.3582043</x:v>
      </x:c>
      <x:c r="W116" s="13"/>
      <x:c r="X116" s="17" t="str"/>
      <x:c r="Y116" s="7" t="str">
        <x:v>研究／方法</x:v>
      </x:c>
    </x:row>
    <x:row r="117" ht="54" customHeight="1">
      <x:c r="A117" s="7" t="str">
        <x:v>R03</x:v>
      </x:c>
      <x:c r="B117" s="7" t="str">
        <x:v>3.2 动态任务与多资源联合调度</x:v>
      </x:c>
      <x:c r="C117" s="7" t="str">
        <x:v>1 引言
4 综合评价与研究展望</x:v>
      </x:c>
      <x:c r="D117" s="7" t="str">
        <x:v>Q09、Q10、Q11、Q01、Q22</x:v>
      </x:c>
      <x:c r="E117" s="7" t="str">
        <x:v>敏捷成像调度的约束、收益、多目标和自主模型，按精确、启发式、元启发式与学习方法分类。</x:v>
      </x:c>
      <x:c r="F117" s="7" t="str">
        <x:v>Agile Earth Observation Satellite Scheduling Over 20 Years: Formulations, Methods, and Future Directions</x:v>
      </x:c>
      <x:c r="G117" s="7" t="str">
        <x:v>敏捷对地观测卫星调度二十年：建模、方法与未来方向</x:v>
      </x:c>
      <x:c r="H117" s="14" t="str">
        <x:v>10.1109/JSYST.2020.2997050</x:v>
      </x:c>
      <x:c r="I117" s="12" t="n">
        <x:v>2021</x:v>
      </x:c>
      <x:c r="J117" s="7" t="str">
        <x:v>IEEE Systems Journal</x:v>
      </x:c>
      <x:c r="K117" s="7" t="str">
        <x:v>敏捷成像调度的约束、收益、多目标和自主模型，按精确、启发式、元启发式与学习方法分类。</x:v>
      </x:c>
      <x:c r="L117" s="7" t="str">
        <x:v>时间窗、任务转换、星上能量与存储；基本模型假设下传资源充足。</x:v>
      </x:c>
      <x:c r="M117" s="7" t="str">
        <x:v>综述文献归纳，非新增系统运行实验。</x:v>
      </x:c>
      <x:c r="N117" s="7" t="str">
        <x:v>2026-10-09核查作者2020年公开稿目录、问题假设与分类；正式期刊版差异待核。</x:v>
      </x:c>
      <x:c r="O117" s="7" t="str">
        <x:v>本轮已核原文局部；完整精读待完成</x:v>
      </x:c>
      <x:c r="P117" s="7" t="str">
        <x:v>作者公开稿v1：§2.1–2.2模型与约束；§3方法分类；§4.2集成调度。目录与基本假设已定位。</x:v>
      </x:c>
      <x:c r="Q117" s="7" t="str">
        <x:v>比较基础调度模型及精确、启发式和学习混合方法。 作为既有综述或分类参照。</x:v>
      </x:c>
      <x:c r="R117" s="7" t="str">
        <x:v>该稿主要讨论敏捷观测调度；下传集成作为展望，不能据此证明完整任务链已实现。
DOI及预印本含2020；正式IEEE Systems Journal卷期为2021年。</x:v>
      </x:c>
      <x:c r="S117" s="7" t="str">
        <x:v>背景或方法参照</x:v>
      </x:c>
      <x:c r="T117" s="7" t="str">
        <x:v>核对综述的实际对象、文献时段、任务类别、分类框架、安全接口与证据维度；确定我们可以新增的比较。</x:v>
      </x:c>
      <x:c r="U117" s="16" t="str"/>
      <x:c r="V117" s="7" t="str">
        <x:v>https://arxiv.org/html/2003.06169
https://arxiv.org/abs/2003.06169
https://doi.org/10.1109/JSYST.2020.2997050</x:v>
      </x:c>
      <x:c r="W117" s="13" t="d">
        <x:v>2026-10-09T00:00:00.000Z</x:v>
      </x:c>
      <x:c r="X117" s="17" t="str"/>
      <x:c r="Y117" s="7" t="str">
        <x:v>综述</x:v>
      </x:c>
    </x:row>
    <x:row r="118" ht="40" customHeight="1">
      <x:c r="A118" s="7" t="str">
        <x:v>R07</x:v>
      </x:c>
      <x:c r="B118" s="7" t="str">
        <x:v>3.2 动态任务与多资源联合调度</x:v>
      </x:c>
      <x:c r="C118" s="7" t="str">
        <x:v>1 引言</x:v>
      </x:c>
      <x:c r="D118" s="7" t="str">
        <x:v>Q09、Q15、Q01</x:v>
      </x:c>
      <x:c r="E118" s="7" t="str">
        <x:v>自主任务调度模型、集中／分布自主协作架构与求解算法。</x:v>
      </x:c>
      <x:c r="F118" s="7" t="str">
        <x:v>Survey on autonomous task scheduling technology for Earth observation satellites</x:v>
      </x:c>
      <x:c r="G118" s="7" t="str">
        <x:v>对地观测卫星自主任务调度技术综述</x:v>
      </x:c>
      <x:c r="H118" s="14" t="str">
        <x:v>10.23919/JSEE.2022.000141</x:v>
      </x:c>
      <x:c r="I118" s="12" t="n">
        <x:v>2022</x:v>
      </x:c>
      <x:c r="J118" s="7" t="str">
        <x:v>Journal of Systems Engineering and Electronics</x:v>
      </x:c>
      <x:c r="K118" s="7" t="str">
        <x:v>自主任务调度模型、集中／分布自主协作架构与求解算法。</x:v>
      </x:c>
      <x:c r="L118" s="7" t="str">
        <x:v>该综述的范围、模型假设和约束分类待逐项全文提取。</x:v>
      </x:c>
      <x:c r="M118" s="7" t="str">
        <x:v>综述归纳材料；具体技术结论需回溯原始研究。</x:v>
      </x:c>
      <x:c r="N118" s="7" t="str">
        <x:v>期刊公开摘要与图表目录</x:v>
      </x:c>
      <x:c r="O118" s="7" t="str">
        <x:v>沿用前轮提取；待完整全文核查</x:v>
      </x:c>
      <x:c r="P118" s="7" t="str">
        <x:v>尚无经全文核查的精确页码、章节或图表位置。</x:v>
      </x:c>
      <x:c r="Q118" s="7" t="str">
        <x:v>比较基础调度模型及精确、启发式和学习混合方法。 作为既有综述或分类参照。</x:v>
      </x:c>
      <x:c r="R118" s="7" t="str">
        <x:v>可比较自主与滚动规划的既有分类，需把成像场景与运维服务区别开。
DOI在期刊主页明确给出；本轮Crossref接口未获取该记录。</x:v>
      </x:c>
      <x:c r="S118" s="7" t="str">
        <x:v>背景或方法参照</x:v>
      </x:c>
      <x:c r="T118" s="7" t="str">
        <x:v>核对综述的实际对象、文献时段、任务类别、分类框架、安全接口与证据维度；确定我们可以新增的比较。</x:v>
      </x:c>
      <x:c r="U118" s="16" t="str"/>
      <x:c r="V118" s="7" t="str">
        <x:v>https://www.jseepub.com/EN/10.23919/JSEE.2022.000141
https://doi.org/10.23919/JSEE.2022.000141</x:v>
      </x:c>
      <x:c r="W118" s="13"/>
      <x:c r="X118" s="17" t="str"/>
      <x:c r="Y118" s="7" t="str">
        <x:v>综述</x:v>
      </x:c>
    </x:row>
    <x:row r="119" ht="40" customHeight="1">
      <x:c r="A119" s="7" t="str">
        <x:v>R09</x:v>
      </x:c>
      <x:c r="B119" s="7" t="str">
        <x:v>3.2 动态任务与多资源联合调度</x:v>
      </x:c>
      <x:c r="C119" s="7" t="str">
        <x:v>1 引言</x:v>
      </x:c>
      <x:c r="D119" s="7" t="str">
        <x:v>Q09、Q11、Q12、Q01</x:v>
      </x:c>
      <x:c r="E119" s="7" t="str">
        <x:v>按成像、通信和二者联合调度组织应用及运筹求解方法。</x:v>
      </x:c>
      <x:c r="F119" s="7" t="str">
        <x:v>Satellite Scheduling Problems: A survey of applications in Earth and outer space observation</x:v>
      </x:c>
      <x:c r="G119" s="7" t="str">
        <x:v>卫星调度问题：对地与外层空间观测应用综述</x:v>
      </x:c>
      <x:c r="H119" s="14" t="str">
        <x:v>10.1016/j.cor.2024.106875</x:v>
      </x:c>
      <x:c r="I119" s="12" t="n">
        <x:v>2025</x:v>
      </x:c>
      <x:c r="J119" s="7" t="str">
        <x:v>Computers &amp; Operations Research</x:v>
      </x:c>
      <x:c r="K119" s="7" t="str">
        <x:v>按成像、通信和二者联合调度组织应用及运筹求解方法。</x:v>
      </x:c>
      <x:c r="L119" s="7" t="str">
        <x:v>该综述的范围、模型假设和约束分类待逐项全文提取。</x:v>
      </x:c>
      <x:c r="M119" s="7" t="str">
        <x:v>综述归纳材料；具体技术结论需回溯原始研究。</x:v>
      </x:c>
      <x:c r="N119" s="7" t="str">
        <x:v>作者公开稿全文定向阅读</x:v>
      </x:c>
      <x:c r="O119" s="7" t="str">
        <x:v>沿用前轮提取；待完整全文核查</x:v>
      </x:c>
      <x:c r="P119" s="7" t="str">
        <x:v>尚无经全文核查的精确页码、章节或图表位置。</x:v>
      </x:c>
      <x:c r="Q119" s="7" t="str">
        <x:v>比较基础调度模型及精确、启发式和学习混合方法。 作为既有综述或分类参照。</x:v>
      </x:c>
      <x:c r="R119" s="7" t="str">
        <x:v>作者公开稿明确将星上自主调度排除在范围外；需检查正式版本是否保持该边界。
DOI含2024；正式卷期2025。</x:v>
      </x:c>
      <x:c r="S119" s="7" t="str">
        <x:v>背景或方法参照</x:v>
      </x:c>
      <x:c r="T119" s="7" t="str">
        <x:v>核对综述的实际对象、文献时段、任务类别、分类框架、安全接口与证据维度；确定我们可以新增的比较。</x:v>
      </x:c>
      <x:c r="U119" s="16" t="str"/>
      <x:c r="V119" s="7" t="str">
        <x:v>https://chairelogistique.hec.ca/wp-content/uploads/2024/02/Survey_on_observation_scheduling.pdf
https://doi.org/10.1016/j.cor.2024.106875</x:v>
      </x:c>
      <x:c r="W119" s="13"/>
      <x:c r="X119" s="17" t="str"/>
      <x:c r="Y119" s="7" t="str">
        <x:v>综述</x:v>
      </x:c>
    </x:row>
    <x:row r="120" ht="40" customHeight="1">
      <x:c r="A120" s="7" t="str">
        <x:v>R19</x:v>
      </x:c>
      <x:c r="B120" s="7" t="str">
        <x:v>3.2 动态任务与多资源联合调度</x:v>
      </x:c>
      <x:c r="C120" s="7" t="str">
        <x:v>3.4 跨层耦合与闭环协同
1 引言</x:v>
      </x:c>
      <x:c r="D120" s="7" t="str">
        <x:v>Q13、Q21、Q01</x:v>
      </x:c>
      <x:c r="E120" s="7" t="str">
        <x:v>网算资源调度中的模型、启发式、深度学习与强化学习及跨层协同。</x:v>
      </x:c>
      <x:c r="F120" s="7" t="str">
        <x:v>Review of Intelligent Scheduling Methods for Mega-Constellations</x:v>
      </x:c>
      <x:c r="G120" s="7" t="str">
        <x:v>面向巨型星座的网算资源智能调度方法综述</x:v>
      </x:c>
      <x:c r="H120" s="14" t="str">
        <x:v>10.19678/j.issn.1000-3428.0252895</x:v>
      </x:c>
      <x:c r="I120" s="12" t="n">
        <x:v>2026</x:v>
      </x:c>
      <x:c r="J120" s="7" t="str">
        <x:v>计算机工程</x:v>
      </x:c>
      <x:c r="K120" s="7" t="str">
        <x:v>网算资源调度中的模型、启发式、深度学习与强化学习及跨层协同。</x:v>
      </x:c>
      <x:c r="L120" s="7" t="str">
        <x:v>该综述的范围、模型假设和约束分类待逐项全文提取。</x:v>
      </x:c>
      <x:c r="M120" s="7" t="str">
        <x:v>综述归纳材料；具体技术结论需回溯原始研究。</x:v>
      </x:c>
      <x:c r="N120" s="7" t="str">
        <x:v>期刊公开摘要与图表目录</x:v>
      </x:c>
      <x:c r="O120" s="7" t="str">
        <x:v>沿用前轮提取；待完整全文核查</x:v>
      </x:c>
      <x:c r="P120" s="7" t="str">
        <x:v>尚无经全文核查的精确页码、章节或图表位置。</x:v>
      </x:c>
      <x:c r="Q120" s="7" t="str">
        <x:v>比较资源分配、任务处理与观测交付之间的关系。 作为既有综述或分类参照。</x:v>
      </x:c>
      <x:c r="R120" s="7" t="str">
        <x:v>需明确网络计算资源调度与在轨服务资源配置的区别及接口。
网页不同缓存的发布日期不一致；卷期2026、52(9)及DOI一致，日期不作精确断言。</x:v>
      </x:c>
      <x:c r="S120" s="7" t="str">
        <x:v>背景或方法参照</x:v>
      </x:c>
      <x:c r="T120" s="7" t="str">
        <x:v>核对综述的实际对象、文献时段、任务类别、分类框架、安全接口与证据维度；确定我们可以新增的比较。</x:v>
      </x:c>
      <x:c r="U120" s="16" t="str"/>
      <x:c r="V120" s="7" t="str">
        <x:v>https://www.ecice06.com/CN/10.19678/j.issn.1000-3428.0252895
https://doi.org/10.19678/j.issn.1000-3428.0252895</x:v>
      </x:c>
      <x:c r="W120" s="13"/>
      <x:c r="X120" s="17" t="str"/>
      <x:c r="Y120" s="7" t="str">
        <x:v>综述</x:v>
      </x:c>
    </x:row>
    <x:row r="121" ht="40" customHeight="1">
      <x:c r="A121" s="7" t="str">
        <x:v>O85</x:v>
      </x:c>
      <x:c r="B121" s="7" t="str">
        <x:v>3.2 动态任务与多资源联合调度</x:v>
      </x:c>
      <x:c r="C121" s="7" t="str">
        <x:v>无额外章节</x:v>
      </x:c>
      <x:c r="D121" s="7" t="str">
        <x:v>Q17</x:v>
      </x:c>
      <x:c r="E121" s="7" t="str">
        <x:v>如何用互信息衡量传感器任务的估计价值？</x:v>
      </x:c>
      <x:c r="F121" s="7" t="str">
        <x:v>Mutual Information Based Sensor Tasking with Applications to Space Situational Awareness</x:v>
      </x:c>
      <x:c r="G121" s="7" t="str">
        <x:v>基于互信息的传感器任务分配及其空间态势感知应用</x:v>
      </x:c>
      <x:c r="H121" s="14" t="str">
        <x:v>10.2514/1.G004399</x:v>
      </x:c>
      <x:c r="I121" s="12" t="n">
        <x:v>2020</x:v>
      </x:c>
      <x:c r="J121" s="7" t="str">
        <x:v>Journal of Guidance, Control, and Dynamics</x:v>
      </x:c>
      <x:c r="K121" s="7" t="str">
        <x:v>当前仅作主题定位；具体模型与算法待一手全文提取。</x:v>
      </x:c>
      <x:c r="L121" s="7" t="str">
        <x:v>关键假设与约束待全文提取。</x:v>
      </x:c>
      <x:c r="M121" s="7" t="str">
        <x:v>验证类型、设置和结果待全文提取。</x:v>
      </x:c>
      <x:c r="N121" s="7" t="str">
        <x:v>Crossref编目与作者实验室发表记录；技术内容暂为题名级</x:v>
      </x:c>
      <x:c r="O121" s="7" t="str">
        <x:v>题名或片段定位；技术内容待核</x:v>
      </x:c>
      <x:c r="P121" s="7" t="str">
        <x:v>尚无经全文核查的精确页码、章节或图表位置。</x:v>
      </x:c>
      <x:c r="Q121" s="7" t="str">
        <x:v>信息增益方法检索入口；全文后可与计数式、协方差式奖励比较。</x:v>
      </x:c>
      <x:c r="R121" s="7" t="str">
        <x:v>未将二手摘要中的次模性或近似保证记作已经核实的技术结论。
2020年正式期刊论文；本轮一手技术摘要访问受限。</x:v>
      </x:c>
      <x:c r="S121" s="7" t="str">
        <x:v>待全文判定</x:v>
      </x:c>
      <x:c r="T121" s="7" t="str">
        <x:v>提取变量、任务链、目标、窗口、资源动态与不确定性；确认收益是否需要实际完成或交付。</x:v>
      </x:c>
      <x:c r="U121" s="16" t="str"/>
      <x:c r="V121" s="7" t="str">
        <x:v>https://arc.aiaa.org/doi/10.2514/1.G004399
https://lasr.tamu.edu/publications/journal-papers/
https://doi.org/10.2514/1.G004399</x:v>
      </x:c>
      <x:c r="W121" s="13"/>
      <x:c r="X121" s="17" t="str"/>
      <x:c r="Y121" s="7" t="str">
        <x:v>研究／方法</x:v>
      </x:c>
    </x:row>
    <x:row r="122" ht="40" customHeight="1">
      <x:c r="A122" s="7" t="str">
        <x:v>O104</x:v>
      </x:c>
      <x:c r="B122" s="7" t="str">
        <x:v>3.2 动态任务与多资源联合调度</x:v>
      </x:c>
      <x:c r="C122" s="7" t="str">
        <x:v>4 综合评价与研究展望</x:v>
      </x:c>
      <x:c r="D122" s="7" t="str">
        <x:v>Q09、Q22</x:v>
      </x:c>
      <x:c r="E122" s="7" t="str">
        <x:v>如何用历史调度数据辅助多星任务分解与并行求解？</x:v>
      </x:c>
      <x:c r="F122" s="7" t="str">
        <x:v>A Data-Driven Parallel Scheduling Approach for Multiple Agile Earth Observation Satellites</x:v>
      </x:c>
      <x:c r="G122" s="7" t="str">
        <x:v>多颗敏捷对地观测卫星的数据驱动并行调度方法</x:v>
      </x:c>
      <x:c r="H122" s="14" t="str">
        <x:v>10.1109/TEVC.2019.2934148</x:v>
      </x:c>
      <x:c r="I122" s="12" t="n">
        <x:v>2020</x:v>
      </x:c>
      <x:c r="J122" s="7" t="str">
        <x:v>IEEE Transactions on Evolutionary Computation</x:v>
      </x:c>
      <x:c r="K122" s="7" t="str">
        <x:v>当前仅作主题定位；具体模型与算法待一手全文提取。</x:v>
      </x:c>
      <x:c r="L122" s="7" t="str">
        <x:v>关键假设与约束待全文提取。</x:v>
      </x:c>
      <x:c r="M122" s="7" t="str">
        <x:v>验证类型、设置和结果待全文提取。</x:v>
      </x:c>
      <x:c r="N122" s="7" t="str">
        <x:v>Crossref编目；技术内容暂为题名级</x:v>
      </x:c>
      <x:c r="O122" s="7" t="str">
        <x:v>题名或片段定位；技术内容待核</x:v>
      </x:c>
      <x:c r="P122" s="7" t="str">
        <x:v>尚无经全文核查的精确页码、章节或图表位置。</x:v>
      </x:c>
      <x:c r="Q122" s="7" t="str">
        <x:v>提供学习辅助分解方法的经典检索入口。</x:v>
      </x:c>
      <x:c r="R122" s="7" t="str">
        <x:v>不将二手摘要中的实验规模或预测精度记作已核实事实。
2019年在线，2020年IEEE TEVC第24卷第4期。</x:v>
      </x:c>
      <x:c r="S122" s="7" t="str">
        <x:v>待全文判定</x:v>
      </x:c>
      <x:c r="T122" s="7" t="str">
        <x:v>提取分解、算法作用位置、可行性检查、信息交换、网络异常、理论前提和训练／在线总成本。</x:v>
      </x:c>
      <x:c r="U122" s="16" t="str"/>
      <x:c r="V122" s="7" t="str">
        <x:v>https://doi.org/10.1109/TEVC.2019.2934148</x:v>
      </x:c>
      <x:c r="W122" s="13"/>
      <x:c r="X122" s="17" t="str"/>
      <x:c r="Y122" s="7" t="str">
        <x:v>研究／方法</x:v>
      </x:c>
    </x:row>
    <x:row r="123" ht="40" customHeight="1">
      <x:c r="A123" s="7" t="str">
        <x:v>O110</x:v>
      </x:c>
      <x:c r="B123" s="7" t="str">
        <x:v>3.2 动态任务与多资源联合调度</x:v>
      </x:c>
      <x:c r="C123" s="7" t="str">
        <x:v>无额外章节</x:v>
      </x:c>
      <x:c r="D123" s="7" t="str">
        <x:v>Q11、Q15</x:v>
      </x:c>
      <x:c r="E123" s="7" t="str">
        <x:v>多智能体学习如何处理观测与数据下传的耦合？</x:v>
      </x:c>
      <x:c r="F123" s="7" t="str">
        <x:v>An Integrated Scheduling Algorithm of Satellite Observation and Data Download Based on Multi-Agent Deep Reinforcement Learning</x:v>
      </x:c>
      <x:c r="G123" s="7" t="str">
        <x:v>基于多智能体深度强化学习的卫星观测与数据下传集成调度算法</x:v>
      </x:c>
      <x:c r="H123" s="14" t="str">
        <x:v>10.1109/CAC59555.2023.10450239</x:v>
      </x:c>
      <x:c r="I123" s="12" t="n">
        <x:v>2023</x:v>
      </x:c>
      <x:c r="J123" s="7" t="str">
        <x:v>2023 China Automation Congress (CAC)</x:v>
      </x:c>
      <x:c r="K123" s="7" t="str">
        <x:v>当前仅作主题定位；具体模型与算法待一手全文提取。</x:v>
      </x:c>
      <x:c r="L123" s="7" t="str">
        <x:v>关键假设与约束待全文提取。</x:v>
      </x:c>
      <x:c r="M123" s="7" t="str">
        <x:v>验证类型、设置和结果待全文提取。</x:v>
      </x:c>
      <x:c r="N123" s="7" t="str">
        <x:v>Crossref会议编目；技术内容暂为题名级</x:v>
      </x:c>
      <x:c r="O123" s="7" t="str">
        <x:v>题名或片段定位；技术内容待核</x:v>
      </x:c>
      <x:c r="P123" s="7" t="str">
        <x:v>尚无经全文核查的精确页码、章节或图表位置。</x:v>
      </x:c>
      <x:c r="Q123" s="7" t="str">
        <x:v>作为学习型联合调度的补充全文候选。</x:v>
      </x:c>
      <x:c r="R123" s="7" t="str">
        <x:v>未根据题名推定算法为MADDPG，也未填入未核定的实验规模。
CAC 2023会议论文，3234—3239页；正式DOI含2023。</x:v>
      </x:c>
      <x:c r="S123" s="7" t="str">
        <x:v>待全文判定</x:v>
      </x:c>
      <x:c r="T123" s="7" t="str">
        <x:v>提取变量、任务链、目标、窗口、资源动态与不确定性；确认收益是否需要实际完成或交付。</x:v>
      </x:c>
      <x:c r="U123" s="16" t="str"/>
      <x:c r="V123" s="7" t="str">
        <x:v>https://doi.org/10.1109/CAC59555.2023.10450239</x:v>
      </x:c>
      <x:c r="W123" s="13"/>
      <x:c r="X123" s="17" t="str"/>
      <x:c r="Y123" s="7" t="str">
        <x:v>研究／方法</x:v>
      </x:c>
    </x:row>
    <x:row r="124" ht="40" customHeight="1">
      <x:c r="A124" s="7" t="str">
        <x:v>R13</x:v>
      </x:c>
      <x:c r="B124" s="7" t="str">
        <x:v>3.2 动态任务与多资源联合调度</x:v>
      </x:c>
      <x:c r="C124" s="7" t="str">
        <x:v>4 综合评价与研究展望
1 引言</x:v>
      </x:c>
      <x:c r="D124" s="7" t="str">
        <x:v>Q09、Q22、Q01</x:v>
      </x:c>
      <x:c r="E124" s="7" t="str">
        <x:v>题名确认其聚焦自主对地观测调度中的深度强化学习；详细分类暂未编码。</x:v>
      </x:c>
      <x:c r="F124" s="7" t="str">
        <x:v>A Review of Deep Reinforcement Learning for Autonomous Earth Observation Satellite Scheduling</x:v>
      </x:c>
      <x:c r="G124" s="7" t="str">
        <x:v>对地观测卫星自主调度的深度强化学习综述</x:v>
      </x:c>
      <x:c r="H124" s="14" t="str">
        <x:v>10.1109/ACCESS.2026.3675302</x:v>
      </x:c>
      <x:c r="I124" s="12" t="n">
        <x:v>2026</x:v>
      </x:c>
      <x:c r="J124" s="7" t="str">
        <x:v>IEEE Access</x:v>
      </x:c>
      <x:c r="K124" s="7" t="str">
        <x:v>当前仅作主题定位；具体模型与算法待一手全文提取。</x:v>
      </x:c>
      <x:c r="L124" s="7" t="str">
        <x:v>关键假设与约束待全文提取。</x:v>
      </x:c>
      <x:c r="M124" s="7" t="str">
        <x:v>验证类型、设置和结果待全文提取。</x:v>
      </x:c>
      <x:c r="N124" s="7" t="str">
        <x:v>Crossref编目核对；全文待获取</x:v>
      </x:c>
      <x:c r="O124" s="7" t="str">
        <x:v>题名或片段定位；技术内容待核</x:v>
      </x:c>
      <x:c r="P124" s="7" t="str">
        <x:v>尚无经全文核查的精确页码、章节或图表位置。</x:v>
      </x:c>
      <x:c r="Q124" s="7" t="str">
        <x:v>比较基础调度模型及精确、启发式和学习混合方法。 作为既有综述或分类参照。</x:v>
      </x:c>
      <x:c r="R124" s="7" t="str">
        <x:v>暂只用于竞争综述编目，不据此判断细粒度研究缺口。
正式论文DOI已匹配；不采用二手页面的研究数量和性能结论。</x:v>
      </x:c>
      <x:c r="S124" s="7" t="str">
        <x:v>待全文判定</x:v>
      </x:c>
      <x:c r="T124" s="7" t="str">
        <x:v>核对综述的实际对象、文献时段、任务类别、分类框架、安全接口与证据维度；确定我们可以新增的比较。</x:v>
      </x:c>
      <x:c r="U124" s="16" t="str"/>
      <x:c r="V124" s="7" t="str">
        <x:v>https://doi.org/10.1109/ACCESS.2026.3675302</x:v>
      </x:c>
      <x:c r="W124" s="13"/>
      <x:c r="X124" s="17" t="str"/>
      <x:c r="Y124" s="7" t="str">
        <x:v>综述</x:v>
      </x:c>
    </x:row>
    <x:row r="125" ht="40" customHeight="1">
      <x:c r="A125" s="7" t="str">
        <x:v>O10</x:v>
      </x:c>
      <x:c r="B125" s="7" t="str">
        <x:v>3.3 安全执行与异常恢复</x:v>
      </x:c>
      <x:c r="C125" s="7" t="str">
        <x:v>3.2 动态任务与多资源联合调度
3.4 跨层耦合与闭环协同</x:v>
      </x:c>
      <x:c r="D125" s="7" t="str">
        <x:v>Q18、Q08、Q21</x:v>
      </x:c>
      <x:c r="E125" s="7" t="str">
        <x:v>如何把时间、质量、摄动和漂移轨道效应接入访问顺序？</x:v>
      </x:c>
      <x:c r="F125" s="7" t="str">
        <x:v>Low-Thrust Propulsion and Drift Orbit Optimization for Multi-Client Servicing Missions in Low Earth Orbit</x:v>
      </x:c>
      <x:c r="G125" s="7" t="str">
        <x:v>低轨多客户服务任务的低推力推进与漂移轨道优化</x:v>
      </x:c>
      <x:c r="H125" s="14" t="str">
        <x:v>10.1007/s40295-026-00580-4</x:v>
      </x:c>
      <x:c r="I125" s="12" t="n">
        <x:v>2026</x:v>
      </x:c>
      <x:c r="J125" s="7" t="str">
        <x:v>The Journal of the Astronautical Sciences</x:v>
      </x:c>
      <x:c r="K125" s="7" t="str">
        <x:v>三阶段推力—漂移—推力；NLP、二维质量／出发时间网格与插值、遗传算法。</x:v>
      </x:c>
      <x:c r="L125" s="7" t="str">
        <x:v>J2、阻力、阴影、质量、服务时间、燃料与优先级。</x:v>
      </x:c>
      <x:c r="M125" s="7" t="str">
        <x:v>数值开放巡回和在轨补加案例。</x:v>
      </x:c>
      <x:c r="N125" s="7" t="str">
        <x:v>出版社全文定向阅读与机构摘要</x:v>
      </x:c>
      <x:c r="O125" s="7" t="str">
        <x:v>沿用前轮提取；待完整全文核查</x:v>
      </x:c>
      <x:c r="P125" s="7" t="str">
        <x:v>尚无经全文核查的精确页码、章节或图表位置。</x:v>
      </x:c>
      <x:c r="Q125" s="7" t="str">
        <x:v>直接对照服务关系与连续任务路线，重点比较前计算成本与插值误差处理。</x:v>
      </x:c>
      <x:c r="R125" s="7" t="str">
        <x:v>已优化访问路线，不能把这一已有能力写成领域完全空白。
已优化访问路线，不能把这一已有能力写成领域完全空白。</x:v>
      </x:c>
      <x:c r="S125" s="7" t="str">
        <x:v>首轮锚点精读</x:v>
      </x:c>
      <x:c r="T125" s="7" t="str">
        <x:v>LEO漂移转移怎样生成连续多客户路线？前计算与精确轨迹之间怎样核查？</x:v>
      </x:c>
      <x:c r="U125" s="16" t="str"/>
      <x:c r="V125" s="7" t="str">
        <x:v>https://link.springer.com/article/10.1007/s40295-026-00580-4
https://doi.org/10.1007/s40295-026-00580-4</x:v>
      </x:c>
      <x:c r="W125" s="13"/>
      <x:c r="X125" s="17" t="str"/>
      <x:c r="Y125" s="7" t="str">
        <x:v>研究／方法</x:v>
      </x:c>
    </x:row>
    <x:row r="126" ht="40" customHeight="1">
      <x:c r="A126" s="7" t="str">
        <x:v>O37</x:v>
      </x:c>
      <x:c r="B126" s="7" t="str">
        <x:v>3.3 安全执行与异常恢复</x:v>
      </x:c>
      <x:c r="C126" s="7" t="str">
        <x:v>4 综合评价与研究展望</x:v>
      </x:c>
      <x:c r="D126" s="7" t="str">
        <x:v>Q19、Q22、Q24</x:v>
      </x:c>
      <x:c r="E126" s="7" t="str">
        <x:v>怎样在轨道传播成本和接近时间精度之间取得平衡？</x:v>
      </x:c>
      <x:c r="F126" s="7" t="str">
        <x:v>Satellite closest approach calculation through Chebyshev Proxy Polynomials</x:v>
      </x:c>
      <x:c r="G126" s="7" t="str">
        <x:v>采用切比雪夫代理多项式计算卫星最近接近事件</x:v>
      </x:c>
      <x:c r="H126" s="14" t="str">
        <x:v>10.1016/j.actaastro.2020.01.020</x:v>
      </x:c>
      <x:c r="I126" s="12" t="n">
        <x:v>2020</x:v>
      </x:c>
      <x:c r="J126" s="7" t="str">
        <x:v>Acta Astronautica</x:v>
      </x:c>
      <x:c r="K126" s="7" t="str">
        <x:v>CATCH 用切比雪夫代理多项式近似并求根，以谱方法与线性代数获得接近候选。</x:v>
      </x:c>
      <x:c r="L126" s="7" t="str">
        <x:v>传播模型、近似阶数和根筛选／数值精度。</x:v>
      </x:c>
      <x:c r="M126" s="7" t="str">
        <x:v>与 ANCAS、代理优化及密集传播方法进行数值比较。</x:v>
      </x:c>
      <x:c r="N126" s="7" t="str">
        <x:v>出版社摘要、Highlights、公开引言与结论片段。</x:v>
      </x:c>
      <x:c r="O126" s="7" t="str">
        <x:v>沿用前轮提取；待完整全文核查</x:v>
      </x:c>
      <x:c r="P126" s="7" t="str">
        <x:v>尚无经全文核查的精确页码、章节或图表位置。</x:v>
      </x:c>
      <x:c r="Q126" s="7" t="str">
        <x:v>与 TCA 最直接相关，适合比较事件定义、求根、细化与验证参考。</x:v>
      </x:c>
      <x:c r="R126" s="7" t="str">
        <x:v>案例精度是数值证据；需另核连续时间根完整性、截断误差与传播模型前提。
2020 期刊 DOI；作者接受稿另有公开入口，本轮直接访问失败。</x:v>
      </x:c>
      <x:c r="S126" s="7" t="str">
        <x:v>首轮锚点精读</x:v>
      </x:c>
      <x:c r="T126" s="7" t="str">
        <x:v>最近接近事件怎样定义、筛选与精化？求根误差、漏检和参考解如何核查？</x:v>
      </x:c>
      <x:c r="U126" s="16" t="str"/>
      <x:c r="V126" s="7" t="str">
        <x:v>https://www.sciencedirect.com/science/article/pii/S009457652030031X
https://kclpure.kcl.ac.uk/portal/files/123432633/AuthorsAccepted.pdf
https://doi.org/10.1016/j.actaastro.2020.01.020</x:v>
      </x:c>
      <x:c r="W126" s="13"/>
      <x:c r="X126" s="17" t="str"/>
      <x:c r="Y126" s="7" t="str">
        <x:v>研究／方法</x:v>
      </x:c>
    </x:row>
    <x:row r="127" ht="40" customHeight="1">
      <x:c r="A127" s="7" t="str">
        <x:v>O41</x:v>
      </x:c>
      <x:c r="B127" s="7" t="str">
        <x:v>3.3 安全执行与异常恢复</x:v>
      </x:c>
      <x:c r="C127" s="7" t="str">
        <x:v>4 综合评价与研究展望</x:v>
      </x:c>
      <x:c r="D127" s="7" t="str">
        <x:v>Q18、Q23</x:v>
      </x:c>
      <x:c r="E127" s="7" t="str">
        <x:v>扰动统计量在线变化时，如何概率性满足交会约束？</x:v>
      </x:c>
      <x:c r="F127" s="7" t="str">
        <x:v>Chance-constrained model predictive control for spacecraft rendezvous with disturbance estimation</x:v>
      </x:c>
      <x:c r="G127" s="7" t="str">
        <x:v>结合扰动估计的航天器交会机会约束模型预测控制</x:v>
      </x:c>
      <x:c r="H127" s="14" t="str">
        <x:v>10.1016/j.conengprac.2011.09.006</x:v>
      </x:c>
      <x:c r="I127" s="12" t="n">
        <x:v>2012</x:v>
      </x:c>
      <x:c r="J127" s="7" t="str">
        <x:v>Control Engineering Practice</x:v>
      </x:c>
      <x:c r="K127" s="7" t="str">
        <x:v>在线估计高斯扰动参数，将机会约束转成代数约束，进行滚动 MPC。</x:v>
      </x:c>
      <x:c r="L127" s="7" t="str">
        <x:v>相对动力学、加性扰动、视线约束及假设的高斯分布。</x:v>
      </x:c>
      <x:c r="M127" s="7" t="str">
        <x:v>鲁棒与非鲁棒 MPC 的 Monte Carlo 实验。</x:v>
      </x:c>
      <x:c r="N127" s="7" t="str">
        <x:v>出版社摘要与公开引言／章节说明。</x:v>
      </x:c>
      <x:c r="O127" s="7" t="str">
        <x:v>沿用前轮提取；待完整全文核查</x:v>
      </x:c>
      <x:c r="P127" s="7" t="str">
        <x:v>尚无经全文核查的精确页码、章节或图表位置。</x:v>
      </x:c>
      <x:c r="Q127" s="7" t="str">
        <x:v>把理想状态 RPO 扩展到不确定性与闭环执行的文献基础。</x:v>
      </x:c>
      <x:c r="R127" s="7" t="str">
        <x:v>概率约束保证依赖分布及估计假设，不是任意未知扰动下的确定性安全。
正式卷期 2012-02，DOI 含 2011。</x:v>
      </x:c>
      <x:c r="S127" s="7" t="str">
        <x:v>首轮锚点精读</x:v>
      </x:c>
      <x:c r="T127" s="7" t="str">
        <x:v>机会约束对应哪种误差分布？扰动估计与MPC执行怎样连接，保证前提是什么？</x:v>
      </x:c>
      <x:c r="U127" s="16" t="str"/>
      <x:c r="V127" s="7" t="str">
        <x:v>https://www.sciencedirect.com/science/article/pii/S0967066111001985
https://doi.org/10.1016/j.conengprac.2011.09.006</x:v>
      </x:c>
      <x:c r="W127" s="13"/>
      <x:c r="X127" s="17" t="str"/>
      <x:c r="Y127" s="7" t="str">
        <x:v>研究／方法</x:v>
      </x:c>
    </x:row>
    <x:row r="128" ht="40" customHeight="1">
      <x:c r="A128" s="7" t="str">
        <x:v>O97</x:v>
      </x:c>
      <x:c r="B128" s="7" t="str">
        <x:v>3.3 安全执行与异常恢复</x:v>
      </x:c>
      <x:c r="C128" s="7" t="str">
        <x:v>2 系统框架与问题建模
4 综合评价与研究展望</x:v>
      </x:c>
      <x:c r="D128" s="7" t="str">
        <x:v>Q20、Q03、Q23</x:v>
      </x:c>
      <x:c r="E128" s="7" t="str">
        <x:v>如何将专家故障处理规则以可修改、可解释的形式接入星上软件？</x:v>
      </x:c>
      <x:c r="F128" s="7" t="str">
        <x:v>Knowledge-based satellite failure detection, isolation and recovery (FDIR)</x:v>
      </x:c>
      <x:c r="G128" s="7" t="str">
        <x:v>基于知识的卫星故障检测、隔离与恢复（FDIR）</x:v>
      </x:c>
      <x:c r="H128" s="14" t="str">
        <x:v>10.1007/s12567-025-00651-6</x:v>
      </x:c>
      <x:c r="I128" s="12" t="n">
        <x:v>2026</x:v>
      </x:c>
      <x:c r="J128" s="7" t="str">
        <x:v>CEAS Space Journal</x:v>
      </x:c>
      <x:c r="K128" s="7" t="str">
        <x:v>CLIPS产生式规则系统与OBSW服务集成，独立验证规则库后接入软件。</x:v>
      </x:c>
      <x:c r="L128" s="7" t="str">
        <x:v>专家规则、设备状态、既有星上服务与恢复动作。</x:v>
      </x:c>
      <x:c r="M128" s="7" t="str">
        <x:v>规则库／软件集成与rover平台验证。</x:v>
      </x:c>
      <x:c r="N128" s="7" t="str">
        <x:v>出版社登记摘要与公开文章</x:v>
      </x:c>
      <x:c r="O128" s="7" t="str">
        <x:v>沿用前轮提取；待完整全文核查</x:v>
      </x:c>
      <x:c r="P128" s="7" t="str">
        <x:v>尚无经全文核查的精确页码、章节或图表位置。</x:v>
      </x:c>
      <x:c r="Q128" s="7" t="str">
        <x:v>补齐检测之后的隔离、解释与恢复动作执行。</x:v>
      </x:c>
      <x:c r="R128" s="7" t="str">
        <x:v>平台验证对象是rover，不能表述为已在轨卫星FDIR验证；恢复依赖规则覆盖。
2025-07-28在线；出版社列2026年第18卷，使用卷期年。</x:v>
      </x:c>
      <x:c r="S128" s="7" t="str">
        <x:v>首轮锚点精读</x:v>
      </x:c>
      <x:c r="T128" s="7" t="str">
        <x:v>哪些FDIR规则与OBSW服务集成？rover验证了哪些恢复动作，尚未验证哪些卫星工况？</x:v>
      </x:c>
      <x:c r="U128" s="16" t="str"/>
      <x:c r="V128" s="7" t="str">
        <x:v>https://link.springer.com/article/10.1007/s12567-025-00651-6
https://doi.org/10.1007/s12567-025-00651-6</x:v>
      </x:c>
      <x:c r="W128" s="13"/>
      <x:c r="X128" s="17" t="str"/>
      <x:c r="Y128" s="7" t="str">
        <x:v>研究／方法</x:v>
      </x:c>
    </x:row>
    <x:row r="129" ht="40" customHeight="1">
      <x:c r="A129" s="7" t="str">
        <x:v>O126</x:v>
      </x:c>
      <x:c r="B129" s="7" t="str">
        <x:v>3.3 安全执行与异常恢复</x:v>
      </x:c>
      <x:c r="C129" s="7" t="str">
        <x:v>3.4 跨层耦合与闭环协同
4 综合评价与研究展望</x:v>
      </x:c>
      <x:c r="D129" s="7" t="str">
        <x:v>Q20、Q21、Q23、Q24</x:v>
      </x:c>
      <x:c r="E129" s="7" t="str">
        <x:v>任务失败后，如何由执行管理器自动加载应急计划并支持星间协调？</x:v>
      </x:c>
      <x:c r="F129" s="7" t="str">
        <x:v>Resilient Autonomous Mission Management for Decentralized Multispacecraft Missions</x:v>
      </x:c>
      <x:c r="G129" s="7" t="str">
        <x:v>去中心化多航天器任务的韧性自主任务管理</x:v>
      </x:c>
      <x:c r="H129" s="14" t="str">
        <x:v>10.2514/1.I011208</x:v>
      </x:c>
      <x:c r="I129" s="12" t="n">
        <x:v>2023</x:v>
      </x:c>
      <x:c r="J129" s="7" t="str">
        <x:v>Journal of Aerospace Information Systems</x:v>
      </x:c>
      <x:c r="K129" s="7" t="str">
        <x:v>Schedule Manager按时窗、优先级、冲突类和资源管理任务；预定义应急计划、数据服务与cFS集成。</x:v>
      </x:c>
      <x:c r="L129" s="7" t="str">
        <x:v>任务准入、资源、故障响应和预设应急计划。</x:v>
      </x:c>
      <x:c r="M129" s="7" t="str">
        <x:v>出版社完整摘要报告cFS单元测试、功能测试、代码分析，以及代表性开发板集群在环测试。</x:v>
      </x:c>
      <x:c r="N129" s="7" t="str">
        <x:v>出版社完整摘要；作者博士论文作为关联一手入口</x:v>
      </x:c>
      <x:c r="O129" s="7" t="str">
        <x:v>沿用前轮提取；待完整全文核查</x:v>
      </x:c>
      <x:c r="P129" s="7" t="str">
        <x:v>尚无经全文核查的精确页码、章节或图表位置。</x:v>
      </x:c>
      <x:c r="Q129" s="7" t="str">
        <x:v>将调度与执行失败处理直接连接，补齐工程实现证据。</x:v>
      </x:c>
      <x:c r="R129" s="7" t="str">
        <x:v>应急计划有预定义范围；地面板级测试不等于多航天器在轨运行。
2023年期刊论文；2022博士论文相关章节作为一手补充入口，不另计数。</x:v>
      </x:c>
      <x:c r="S129" s="7" t="str">
        <x:v>首轮锚点精读</x:v>
      </x:c>
      <x:c r="T129" s="7" t="str">
        <x:v>应急计划怎样触发？cFS软件验证与开发板集群分别覆盖哪些任务失败和通信条件？</x:v>
      </x:c>
      <x:c r="U129" s="16" t="str"/>
      <x:c r="V129" s="7" t="str">
        <x:v>https://doi.org/10.2514/1.I011208
https://d-scholarship.pitt.edu/43768/25/antony_gillette_etdPitt2022.pdf</x:v>
      </x:c>
      <x:c r="W129" s="13"/>
      <x:c r="X129" s="17" t="str"/>
      <x:c r="Y129" s="7" t="str">
        <x:v>研究／方法</x:v>
      </x:c>
    </x:row>
    <x:row r="130" ht="40" customHeight="1">
      <x:c r="A130" s="7" t="str">
        <x:v>R15</x:v>
      </x:c>
      <x:c r="B130" s="7" t="str">
        <x:v>3.3 安全执行与异常恢复</x:v>
      </x:c>
      <x:c r="C130" s="7" t="str">
        <x:v>1 引言
4 综合评价与研究展望</x:v>
      </x:c>
      <x:c r="D130" s="7" t="str">
        <x:v>Q19、Q18、Q01、Q24</x:v>
      </x:c>
      <x:c r="E130" s="7" t="str">
        <x:v>规避机动的数值、解析和半解析方法，脉冲／连续推力及确定／随机处理。</x:v>
      </x:c>
      <x:c r="F130" s="7" t="str">
        <x:v>CAMmary: A review of spacecraft collision avoidance manoeuvre design methods</x:v>
      </x:c>
      <x:c r="G130" s="7" t="str">
        <x:v>CAMmary：航天器碰撞规避机动设计方法综述</x:v>
      </x:c>
      <x:c r="H130" s="14" t="str">
        <x:v>10.1016/j.actaastro.2025.07.027</x:v>
      </x:c>
      <x:c r="I130" s="12" t="n">
        <x:v>2025</x:v>
      </x:c>
      <x:c r="J130" s="7" t="str">
        <x:v>Acta Astronautica</x:v>
      </x:c>
      <x:c r="K130" s="7" t="str">
        <x:v>规避机动的数值、解析和半解析方法，脉冲／连续推力及确定／随机处理。</x:v>
      </x:c>
      <x:c r="L130" s="7" t="str">
        <x:v>该综述的范围、模型假设和约束分类待逐项全文提取。</x:v>
      </x:c>
      <x:c r="M130" s="7" t="str">
        <x:v>综述归纳材料；具体技术结论需回溯原始研究。</x:v>
      </x:c>
      <x:c r="N130" s="7" t="str">
        <x:v>作者机构正式全文定向阅读</x:v>
      </x:c>
      <x:c r="O130" s="7" t="str">
        <x:v>沿用前轮提取；待完整全文核查</x:v>
      </x:c>
      <x:c r="P130" s="7" t="str">
        <x:v>尚无经全文核查的精确页码、章节或图表位置。</x:v>
      </x:c>
      <x:c r="Q130" s="7" t="str">
        <x:v>比较风险计算、候选筛选与规避决策的验证范围。 作为既有综述或分类参照。</x:v>
      </x:c>
      <x:c r="R130" s="7" t="str">
        <x:v>安全章节需从该基础进一步分析规避与任务恢复、资源和调度的耦合。
其数值方法比较不能直接推广到全部自主运行系统。</x:v>
      </x:c>
      <x:c r="S130" s="7" t="str">
        <x:v>首轮锚点精读</x:v>
      </x:c>
      <x:c r="T130" s="7" t="str">
        <x:v>核对综述的实际对象、文献时段、任务类别、分类框架、安全接口与证据维度；确定我们可以新增的比较。</x:v>
      </x:c>
      <x:c r="U130" s="16" t="str"/>
      <x:c r="V130" s="7" t="str">
        <x:v>https://re.public.polimi.it/bitstream/11311/1294611/1/PAVAZ02-25.pdf
https://doi.org/10.1016/j.actaastro.2025.07.027</x:v>
      </x:c>
      <x:c r="W130" s="13"/>
      <x:c r="X130" s="17" t="str"/>
      <x:c r="Y130" s="7" t="str">
        <x:v>综述</x:v>
      </x:c>
    </x:row>
    <x:row r="131" ht="40" customHeight="1">
      <x:c r="A131" s="7" t="str">
        <x:v>O09</x:v>
      </x:c>
      <x:c r="B131" s="7" t="str">
        <x:v>3.3 安全执行与异常恢复</x:v>
      </x:c>
      <x:c r="C131" s="7" t="str">
        <x:v>3.2 动态任务与多资源联合调度
3.4 跨层耦合与闭环协同</x:v>
      </x:c>
      <x:c r="D131" s="7" t="str">
        <x:v>Q18、Q08、Q21</x:v>
      </x:c>
      <x:c r="E131" s="7" t="str">
        <x:v>如何计入摄动、阴影和质量变化构造时变访问代价并优化路径？</x:v>
      </x:c>
      <x:c r="F131" s="7" t="str">
        <x:v>Optimal Multi-Client Trajectory Planning for A Low-Thrust Servicing Satellite in the Presence of Perturbations</x:v>
      </x:c>
      <x:c r="G131" s="7" t="str">
        <x:v>摄动条件下低推力服务卫星的最优多客户轨迹规划</x:v>
      </x:c>
      <x:c r="H131" s="14" t="str">
        <x:v>10.1007/s40295-025-00487-6</x:v>
      </x:c>
      <x:c r="I131" s="12" t="n">
        <x:v>2025</x:v>
      </x:c>
      <x:c r="J131" s="7" t="str">
        <x:v>The Journal of the Astronautical Sciences</x:v>
      </x:c>
      <x:c r="K131" s="7" t="str">
        <x:v>转移代价预计算／插值与组合路径优化。</x:v>
      </x:c>
      <x:c r="L131" s="7" t="str">
        <x:v>J2、阴影、燃料质量与操作约束。</x:v>
      </x:c>
      <x:c r="M131" s="7" t="str">
        <x:v>数值案例，并与直接优化方法比较。</x:v>
      </x:c>
      <x:c r="N131" s="7" t="str">
        <x:v>出版社摘要与正文定向阅读</x:v>
      </x:c>
      <x:c r="O131" s="7" t="str">
        <x:v>沿用前轮提取；待完整全文核查</x:v>
      </x:c>
      <x:c r="P131" s="7" t="str">
        <x:v>尚无经全文核查的精确页码、章节或图表位置。</x:v>
      </x:c>
      <x:c r="Q131" s="7" t="str">
        <x:v>与LEO后续论文配对阅读；不直接迁移其高轨性能。</x:v>
      </x:c>
      <x:c r="R131" s="7" t="str">
        <x:v>2025正式论文，与O10为相关方法系列，不合并成同一条实验。
2025正式论文，与O10为相关方法系列，不合并成同一条实验。</x:v>
      </x:c>
      <x:c r="S131" s="7" t="str">
        <x:v>第二轮专题精读</x:v>
      </x:c>
      <x:c r="T131" s="7" t="str">
        <x:v>提取动力学、终端状态、安全约束、连续时间检查和故障恢复；核查保证对象及执行反馈。</x:v>
      </x:c>
      <x:c r="U131" s="16" t="str"/>
      <x:c r="V131" s="7" t="str">
        <x:v>https://link.springer.com/article/10.1007/s40295-025-00487-6
https://doi.org/10.1007/s40295-025-00487-6</x:v>
      </x:c>
      <x:c r="W131" s="13"/>
      <x:c r="X131" s="17" t="str"/>
      <x:c r="Y131" s="7" t="str">
        <x:v>研究／方法</x:v>
      </x:c>
    </x:row>
    <x:row r="132" ht="40" customHeight="1">
      <x:c r="A132" s="7" t="str">
        <x:v>O13</x:v>
      </x:c>
      <x:c r="B132" s="7" t="str">
        <x:v>3.3 安全执行与异常恢复</x:v>
      </x:c>
      <x:c r="C132" s="7" t="str">
        <x:v>3.2 动态任务与多资源联合调度</x:v>
      </x:c>
      <x:c r="D132" s="7" t="str">
        <x:v>Q18、Q08</x:v>
      </x:c>
      <x:c r="E132" s="7" t="str">
        <x:v>如何利用无机动飞掠和轨间转移降低巡检成本？</x:v>
      </x:c>
      <x:c r="F132" s="7" t="str">
        <x:v>On-orbit observation trajectory planning for common-track mega constellations</x:v>
      </x:c>
      <x:c r="G132" s="7" t="str">
        <x:v>共轨迹巨型星座的在轨观测轨迹规划</x:v>
      </x:c>
      <x:c r="H132" s="14" t="str">
        <x:v>10.1016/j.cja.2026.104333</x:v>
      </x:c>
      <x:c r="I132" s="12" t="n">
        <x:v>2026</x:v>
      </x:c>
      <x:c r="J132" s="7" t="str">
        <x:v>Chinese Journal of Aeronautics</x:v>
      </x:c>
      <x:c r="K132" s="7" t="str">
        <x:v>无机动飞掠轨道设计、多脉冲转移与分支定界序列优化。</x:v>
      </x:c>
      <x:c r="L132" s="7" t="str">
        <x:v>观测距离、特殊星座几何、轨道转移。</x:v>
      </x:c>
      <x:c r="M132" s="7" t="str">
        <x:v>数值轨迹案例。</x:v>
      </x:c>
      <x:c r="N132" s="7" t="str">
        <x:v>出版社公开摘要与正文片段</x:v>
      </x:c>
      <x:c r="O132" s="7" t="str">
        <x:v>沿用前轮提取；待完整全文核查</x:v>
      </x:c>
      <x:c r="P132" s="7" t="str">
        <x:v>尚无经全文核查的精确页码、章节或图表位置。</x:v>
      </x:c>
      <x:c r="Q132" s="7" t="str">
        <x:v>比较特殊构型可利用的结构；飞掠观测与交会维修的终端条件不同。</x:v>
      </x:c>
      <x:c r="R132" s="7" t="str">
        <x:v>2026-06-29在线预校样；不把62次飞掠写成服务完成数。
2026-06-29在线预校样；不把62次飞掠写成服务完成数。</x:v>
      </x:c>
      <x:c r="S132" s="7" t="str">
        <x:v>第二轮专题精读</x:v>
      </x:c>
      <x:c r="T132" s="7" t="str">
        <x:v>提取动力学、终端状态、安全约束、连续时间检查和故障恢复；核查保证对象及执行反馈。</x:v>
      </x:c>
      <x:c r="U132" s="16" t="str"/>
      <x:c r="V132" s="7" t="str">
        <x:v>https://www.sciencedirect.com/science/article/pii/S1000936126002712
https://doi.org/10.1016/j.cja.2026.104333</x:v>
      </x:c>
      <x:c r="W132" s="13"/>
      <x:c r="X132" s="17" t="str"/>
      <x:c r="Y132" s="7" t="str">
        <x:v>研究／方法</x:v>
      </x:c>
    </x:row>
    <x:row r="133" ht="54" customHeight="1">
      <x:c r="A133" s="7" t="str">
        <x:v>O38</x:v>
      </x:c>
      <x:c r="B133" s="7" t="str">
        <x:v>3.3 安全执行与异常恢复</x:v>
      </x:c>
      <x:c r="C133" s="7" t="str">
        <x:v>4 综合评价与研究展望</x:v>
      </x:c>
      <x:c r="D133" s="7" t="str">
        <x:v>Q19、Q22</x:v>
      </x:c>
      <x:c r="E133" s="7" t="str">
        <x:v>筛选策略与 GPU 并行如何影响筛选精度和总计算时间？</x:v>
      </x:c>
      <x:c r="F133" s="7" t="str">
        <x:v>Performance Investigation of the Conjunction Filter Methods and Enhancement of Computation Speed on Conjunction Assessment Analysis with CUDA Techniques</x:v>
      </x:c>
      <x:c r="G133" s="7" t="str">
        <x:v>接近筛选方法性能研究及基于 CUDA 的接近评估计算加速</x:v>
      </x:c>
      <x:c r="H133" s="14" t="str">
        <x:v>10.3390/aerospace10060543</x:v>
      </x:c>
      <x:c r="I133" s="12" t="n">
        <x:v>2023</x:v>
      </x:c>
      <x:c r="J133" s="7" t="str">
        <x:v>Aerospace</x:v>
      </x:c>
      <x:c r="K133" s="7" t="str">
        <x:v>比较 Smart Sieve、CSieve、组合 CAOS-D，并实现 CUDA 并行。</x:v>
      </x:c>
      <x:c r="L133" s="7" t="str">
        <x:v>筛选门限、候选保留与并行计算成本。</x:v>
      </x:c>
      <x:c r="M133" s="7" t="str">
        <x:v>筛选准确性与计算时间实验。</x:v>
      </x:c>
      <x:c r="N133" s="7" t="str">
        <x:v>出版方提交的 Crossref 摘要与出版社记录。</x:v>
      </x:c>
      <x:c r="O133" s="7" t="str">
        <x:v>沿用前轮提取；待完整全文核查</x:v>
      </x:c>
      <x:c r="P133" s="7" t="str">
        <x:v>尚无经全文核查的精确页码、章节或图表位置。</x:v>
      </x:c>
      <x:c r="Q133" s="7" t="str">
        <x:v>第 6 章比较粗筛召回、细化成本和端到端成本。</x:v>
      </x:c>
      <x:c r="R133" s="7" t="str">
        <x:v>吞吐量改善与完整事件检索、碰撞概率计算是不同结果。
2023 开放获取期刊；本轮全文网页直接读取受限，未补造规模。</x:v>
      </x:c>
      <x:c r="S133" s="7" t="str">
        <x:v>第二轮专题精读</x:v>
      </x:c>
      <x:c r="T133" s="7" t="str">
        <x:v>提取动力学、终端状态、安全约束、连续时间检查和故障恢复；核查保证对象及执行反馈。</x:v>
      </x:c>
      <x:c r="U133" s="16" t="str"/>
      <x:c r="V133" s="7" t="str">
        <x:v>https://www.mdpi.com/2226-4310/10/6/543
https://doi.org/10.3390/aerospace10060543</x:v>
      </x:c>
      <x:c r="W133" s="13"/>
      <x:c r="X133" s="17" t="str"/>
      <x:c r="Y133" s="7" t="str">
        <x:v>研究／方法</x:v>
      </x:c>
    </x:row>
    <x:row r="134" ht="40" customHeight="1">
      <x:c r="A134" s="7" t="str">
        <x:v>O39</x:v>
      </x:c>
      <x:c r="B134" s="7" t="str">
        <x:v>3.3 安全执行与异常恢复</x:v>
      </x:c>
      <x:c r="C134" s="7" t="str">
        <x:v>4 综合评价与研究展望</x:v>
      </x:c>
      <x:c r="D134" s="7" t="str">
        <x:v>Q19、Q23</x:v>
      </x:c>
      <x:c r="E134" s="7" t="str">
        <x:v>如何模拟不同规避规则带来的运行负担？</x:v>
      </x:c>
      <x:c r="F134" s="7" t="str">
        <x:v>Simulation of satellites and constellations for the assessment of collision avoidance operations</x:v>
      </x:c>
      <x:c r="G134" s="7" t="str">
        <x:v>用于评估碰撞规避运行的卫星与星座仿真</x:v>
      </x:c>
      <x:c r="H134" s="14" t="str">
        <x:v>10.1007/s12567-022-00471-y</x:v>
      </x:c>
      <x:c r="I134" s="12" t="n">
        <x:v>2023</x:v>
      </x:c>
      <x:c r="J134" s="7" t="str">
        <x:v>CEAS Space Journal</x:v>
      </x:c>
      <x:c r="K134" s="7" t="str">
        <x:v>R4C 长期仿真，解析摄动、星座部署与轨道维持模型。比较随机与确定性两两接近检测。</x:v>
      </x:c>
      <x:c r="L134" s="7" t="str">
        <x:v>解析轨道模型、星座运行机制与规避规则。</x:v>
      </x:c>
      <x:c r="M134" s="7" t="str">
        <x:v>模型与其他仿真、实际数据对照，并比较两种接近检测。</x:v>
      </x:c>
      <x:c r="N134" s="7" t="str">
        <x:v>出版社全文第 4 节及出版方 Crossref 摘要。</x:v>
      </x:c>
      <x:c r="O134" s="7" t="str">
        <x:v>沿用前轮提取；待完整全文核查</x:v>
      </x:c>
      <x:c r="P134" s="7" t="str">
        <x:v>尚无经全文核查的精确页码、章节或图表位置。</x:v>
      </x:c>
      <x:c r="Q134" s="7" t="str">
        <x:v>连接 TCA 技术与星座整体运行效能。</x:v>
      </x:c>
      <x:c r="R134" s="7" t="str">
        <x:v>随机模式用于统计行为；确定性模式才给具体时刻和位置，二者不可混同。
首次在线 2022-09-15，正式卷期 2023-09；表内年份采用卷期。</x:v>
      </x:c>
      <x:c r="S134" s="7" t="str">
        <x:v>第二轮专题精读</x:v>
      </x:c>
      <x:c r="T134" s="7" t="str">
        <x:v>提取动力学、终端状态、安全约束、连续时间检查和故障恢复；核查保证对象及执行反馈。</x:v>
      </x:c>
      <x:c r="U134" s="16" t="str"/>
      <x:c r="V134" s="7" t="str">
        <x:v>https://link.springer.com/article/10.1007/s12567-022-00471-y
https://doi.org/10.1007/s12567-022-00471-y</x:v>
      </x:c>
      <x:c r="W134" s="13"/>
      <x:c r="X134" s="17" t="str"/>
      <x:c r="Y134" s="7" t="str">
        <x:v>研究／方法</x:v>
      </x:c>
    </x:row>
    <x:row r="135" ht="40" customHeight="1">
      <x:c r="A135" s="7" t="str">
        <x:v>O40</x:v>
      </x:c>
      <x:c r="B135" s="7" t="str">
        <x:v>3.3 安全执行与异常恢复</x:v>
      </x:c>
      <x:c r="C135" s="7" t="str">
        <x:v>4 综合评价与研究展望</x:v>
      </x:c>
      <x:c r="D135" s="7" t="str">
        <x:v>Q18、Q23</x:v>
      </x:c>
      <x:c r="E135" s="7" t="str">
        <x:v>异常发生后，能否通过轨迹设计降低碰撞风险？</x:v>
      </x:c>
      <x:c r="F135" s="7" t="str">
        <x:v>Safe Trajectories for Autonomous Rendezvous of Spacecraft</x:v>
      </x:c>
      <x:c r="G135" s="7" t="str">
        <x:v>航天器自主交会的安全轨迹</x:v>
      </x:c>
      <x:c r="H135" s="14" t="str">
        <x:v>10.2514/1.29590</x:v>
      </x:c>
      <x:c r="I135" s="12" t="n">
        <x:v>2008</x:v>
      </x:c>
      <x:c r="J135" s="7" t="str">
        <x:v>Journal of Guidance, Control, and Dynamics</x:v>
      </x:c>
      <x:c r="K135" s="7" t="str">
        <x:v>把被动碰撞规避要求作为轨迹约束，分析安全与燃料的权衡；具体构造需正式全文复核。</x:v>
      </x:c>
      <x:c r="L135" s="7" t="str">
        <x:v>指定异常行为、碰撞区域与安全时域。</x:v>
      </x:c>
      <x:c r="M135" s="7" t="str">
        <x:v>期刊元数据与作者公开论文摘要。</x:v>
      </x:c>
      <x:c r="N135" s="7" t="str">
        <x:v>出版记录、MIT 作者发表目录及作者上传期刊稿摘要。尚未逐项核对定理。</x:v>
      </x:c>
      <x:c r="O135" s="7" t="str">
        <x:v>沿用前轮提取；待完整全文核查</x:v>
      </x:c>
      <x:c r="P135" s="7" t="str">
        <x:v>尚无经全文核查的精确页码、章节或图表位置。</x:v>
      </x:c>
      <x:c r="Q135" s="7" t="str">
        <x:v>RPO 安全约束章节的基础论文。</x:v>
      </x:c>
      <x:c r="R135" s="7" t="str">
        <x:v>安全结论限于规定的动力学、异常集合和验证时域。
采用 2008 期刊 DOI；同题 2006 会议论文 10.2514/6.2006-6584 不再单列。出版网页显示 2012 平台在线日期，不能据此改引用年。</x:v>
      </x:c>
      <x:c r="S135" s="7" t="str">
        <x:v>第二轮专题精读</x:v>
      </x:c>
      <x:c r="T135" s="7" t="str">
        <x:v>提取动力学、终端状态、安全约束、连续时间检查和故障恢复；核查保证对象及执行反馈。</x:v>
      </x:c>
      <x:c r="U135" s="16" t="str"/>
      <x:c r="V135" s="7" t="str">
        <x:v>https://doi.org/10.2514/1.29590
https://www.researchgate.net/publication/228835933_Safe_Trajectories_for_Autonomous_Rendezvous_of_Spacecraft</x:v>
      </x:c>
      <x:c r="W135" s="13"/>
      <x:c r="X135" s="17" t="str"/>
      <x:c r="Y135" s="7" t="str">
        <x:v>研究／方法</x:v>
      </x:c>
    </x:row>
    <x:row r="136" ht="40" customHeight="1">
      <x:c r="A136" s="7" t="str">
        <x:v>O43</x:v>
      </x:c>
      <x:c r="B136" s="7" t="str">
        <x:v>3.3 安全执行与异常恢复</x:v>
      </x:c>
      <x:c r="C136" s="7" t="str">
        <x:v>无额外章节</x:v>
      </x:c>
      <x:c r="D136" s="7" t="str">
        <x:v>Q18</x:v>
      </x:c>
      <x:c r="E136" s="7" t="str">
        <x:v>如何在局部通信条件下实现多航天器燃料与避碰协调？</x:v>
      </x:c>
      <x:c r="F136" s="7" t="str">
        <x:v>Model Predictive Control of Swarms of Spacecraft Using Sequential Convex Programming</x:v>
      </x:c>
      <x:c r="G136" s="7" t="str">
        <x:v>采用序贯凸规划的航天器群模型预测控制</x:v>
      </x:c>
      <x:c r="H136" s="14" t="str">
        <x:v>10.2514/1.G000218</x:v>
      </x:c>
      <x:c r="I136" s="12" t="n">
        <x:v>2014</x:v>
      </x:c>
      <x:c r="J136" s="7" t="str">
        <x:v>Journal of Guidance, Control, and Dynamics</x:v>
      </x:c>
      <x:c r="K136" s="7" t="str">
        <x:v>邻居通信的分散式 MPC，使用 SCP 迭代近似路径问题，并在执行期间更新。</x:v>
      </x:c>
      <x:c r="L136" s="7" t="str">
        <x:v>时变碰撞约束、通信与采样时间条件；原文讨论稳定性、可行性和鲁棒性。</x:v>
      </x:c>
      <x:c r="M136" s="7" t="str">
        <x:v>作者机构摘要报告算法及理论条件；全文实验尚待核。</x:v>
      </x:c>
      <x:c r="N136" s="7" t="str">
        <x:v>Caltech/JPL 作者机构库摘要。</x:v>
      </x:c>
      <x:c r="O136" s="7" t="str">
        <x:v>沿用前轮提取；待完整全文核查</x:v>
      </x:c>
      <x:c r="P136" s="7" t="str">
        <x:v>尚无经全文核查的精确页码、章节或图表位置。</x:v>
      </x:c>
      <x:c r="Q136" s="7" t="str">
        <x:v>连接 D 自主协同与 C 物理安全约束。</x:v>
      </x:c>
      <x:c r="R136" s="7" t="str">
        <x:v>系统目标规模不能当实际试验规模；保证必须注明具体条件。
正式卷期 2014，机构页面保留 2013 版权信息。</x:v>
      </x:c>
      <x:c r="S136" s="7" t="str">
        <x:v>第二轮专题精读</x:v>
      </x:c>
      <x:c r="T136" s="7" t="str">
        <x:v>提取分解、算法作用位置、可行性检查、信息交换、网络异常、理论前提和训练／在线总成本。</x:v>
      </x:c>
      <x:c r="U136" s="16" t="str"/>
      <x:c r="V136" s="7" t="str">
        <x:v>https://authors.library.caltech.edu/records/mvhns-j8a04
https://doi.org/10.2514/1.G000218</x:v>
      </x:c>
      <x:c r="W136" s="13"/>
      <x:c r="X136" s="17" t="str"/>
      <x:c r="Y136" s="7" t="str">
        <x:v>研究／方法</x:v>
      </x:c>
    </x:row>
    <x:row r="137" ht="40" customHeight="1">
      <x:c r="A137" s="7" t="str">
        <x:v>O44</x:v>
      </x:c>
      <x:c r="B137" s="7" t="str">
        <x:v>3.3 安全执行与异常恢复</x:v>
      </x:c>
      <x:c r="C137" s="7" t="str">
        <x:v>4 综合评价与研究展望</x:v>
      </x:c>
      <x:c r="D137" s="7" t="str">
        <x:v>Q18、Q23</x:v>
      </x:c>
      <x:c r="E137" s="7" t="str">
        <x:v>如何将视觉状态与不确定性带入轨道姿态耦合控制？</x:v>
      </x:c>
      <x:c r="F137" s="7" t="str">
        <x:v>Chance-constrained visual servoing MPC for non-cooperative spacecraft rendezvous</x:v>
      </x:c>
      <x:c r="G137" s="7" t="str">
        <x:v>非合作航天器交会的机会约束视觉伺服模型预测控制</x:v>
      </x:c>
      <x:c r="H137" s="14" t="str">
        <x:v>10.1016/j.ast.2025.111237</x:v>
      </x:c>
      <x:c r="I137" s="12" t="n">
        <x:v>2026</x:v>
      </x:c>
      <x:c r="J137" s="7" t="str">
        <x:v>Aerospace Science and Technology</x:v>
      </x:c>
      <x:c r="K137" s="7" t="str">
        <x:v>图像空间轨道姿态耦合模型，在线扰动估计配合概率约束收紧和 MPC。</x:v>
      </x:c>
      <x:c r="L137" s="7" t="str">
        <x:v>视觉反馈、目标翻滚、模型扰动及概率状态限制。</x:v>
      </x:c>
      <x:c r="M137" s="7" t="str">
        <x:v>公开摘要报告与名义 MPC 的比较；具体实验条件待全文核。</x:v>
      </x:c>
      <x:c r="N137" s="7" t="str">
        <x:v>出版社摘要与 Highlights。</x:v>
      </x:c>
      <x:c r="O137" s="7" t="str">
        <x:v>沿用前轮提取；待完整全文核查</x:v>
      </x:c>
      <x:c r="P137" s="7" t="str">
        <x:v>尚无经全文核查的精确页码、章节或图表位置。</x:v>
      </x:c>
      <x:c r="Q137" s="7" t="str">
        <x:v>RPO 传感器、状态估计与执行环节的补充。</x:v>
      </x:c>
      <x:c r="R137" s="7" t="str">
        <x:v>概率安全依赖扰动统计模型；不能据摘要视为已完成实际非合作对接。
正式卷期 2026-02，DOI 含 2025。</x:v>
      </x:c>
      <x:c r="S137" s="7" t="str">
        <x:v>第二轮专题精读</x:v>
      </x:c>
      <x:c r="T137" s="7" t="str">
        <x:v>提取动力学、终端状态、安全约束、连续时间检查和故障恢复；核查保证对象及执行反馈。</x:v>
      </x:c>
      <x:c r="U137" s="16" t="str"/>
      <x:c r="V137" s="7" t="str">
        <x:v>https://www.sciencedirect.com/science/article/pii/S1270963825013008
https://doi.org/10.1016/j.ast.2025.111237</x:v>
      </x:c>
      <x:c r="W137" s="13"/>
      <x:c r="X137" s="17" t="str"/>
      <x:c r="Y137" s="7" t="str">
        <x:v>研究／方法</x:v>
      </x:c>
    </x:row>
    <x:row r="138" ht="38" customHeight="1">
      <x:c r="A138" s="7" t="str">
        <x:v>O98</x:v>
      </x:c>
      <x:c r="B138" s="7" t="str">
        <x:v>3.3 安全执行与异常恢复</x:v>
      </x:c>
      <x:c r="C138" s="7" t="str">
        <x:v>3.2 动态任务与多资源联合调度
3.4 跨层耦合与闭环协同</x:v>
      </x:c>
      <x:c r="D138" s="7" t="str">
        <x:v>Q20、Q15、Q21</x:v>
      </x:c>
      <x:c r="E138" s="7" t="str">
        <x:v>节点失效、总容量不可逆下降后，如何转移任务并保留高优先级吞吐？</x:v>
      </x:c>
      <x:c r="F138" s="7" t="str">
        <x:v>A Decentralized Framework for Resource-Constrained Task Redistribution</x:v>
      </x:c>
      <x:c r="G138" s="7" t="str">
        <x:v>资源受限任务重分配的去中心化框架</x:v>
      </x:c>
      <x:c r="H138" s="14" t="str">
        <x:v>10.1609/aaaiss.v8i1.42523</x:v>
      </x:c>
      <x:c r="I138" s="12" t="n">
        <x:v>2026</x:v>
      </x:c>
      <x:c r="J138" s="7" t="str">
        <x:v>Proceedings of the AAAI Symposium Series</x:v>
      </x:c>
      <x:c r="K138" s="7" t="str">
        <x:v>按可用存储、距离、能力与负载进行多准则任务重分配。</x:v>
      </x:c>
      <x:c r="L138" s="7" t="str">
        <x:v>空间访问、存储、间歇下传、节点容量损失。</x:v>
      </x:c>
      <x:c r="M138" s="7" t="str">
        <x:v>资源受限代理系统的模拟重调度。</x:v>
      </x:c>
      <x:c r="N138" s="7" t="str">
        <x:v>AAAI出版社摘要</x:v>
      </x:c>
      <x:c r="O138" s="7" t="str">
        <x:v>沿用前轮提取；待完整全文核查</x:v>
      </x:c>
      <x:c r="P138" s="7" t="str">
        <x:v>尚无经全文核查的精确页码、章节或图表位置。</x:v>
      </x:c>
      <x:c r="Q138" s="7" t="str">
        <x:v>补齐失效后跨星任务接管与服务连续性。</x:v>
      </x:c>
      <x:c r="R138" s="7" t="str">
        <x:v>具有物理启发的抽象模型；不能据此认定完整轨道、姿态或链路动力学已验证。
2026-05-18正式会议论文；具体代理与任务数待全文提取。</x:v>
      </x:c>
      <x:c r="S138" s="7" t="str">
        <x:v>第二轮专题精读</x:v>
      </x:c>
      <x:c r="T138" s="7" t="str">
        <x:v>提取分解、算法作用位置、可行性检查、信息交换、网络异常、理论前提和训练／在线总成本。</x:v>
      </x:c>
      <x:c r="U138" s="16" t="str"/>
      <x:c r="V138" s="7" t="str">
        <x:v>https://ojs.aaai.org/index.php/AAAI-SS/article/view/42523
https://doi.org/10.1609/aaaiss.v8i1.42523</x:v>
      </x:c>
      <x:c r="W138" s="13"/>
      <x:c r="X138" s="17" t="str"/>
      <x:c r="Y138" s="7" t="str">
        <x:v>研究／方法</x:v>
      </x:c>
    </x:row>
    <x:row r="139" ht="40" customHeight="1">
      <x:c r="A139" s="7" t="str">
        <x:v>O120</x:v>
      </x:c>
      <x:c r="B139" s="7" t="str">
        <x:v>3.3 安全执行与异常恢复</x:v>
      </x:c>
      <x:c r="C139" s="7" t="str">
        <x:v>4 综合评价与研究展望</x:v>
      </x:c>
      <x:c r="D139" s="7" t="str">
        <x:v>Q18、Q23</x:v>
      </x:c>
      <x:c r="E139" s="7" t="str">
        <x:v>闭环学习与离线规划如何权衡巡检效率、计算成本和安全？</x:v>
      </x:c>
      <x:c r="F139" s="7" t="str">
        <x:v>Two Approaches to Autonomous Spacecraft Inspection: Shielded Reinforcement Learning versus Probabilistic Roadmaps</x:v>
      </x:c>
      <x:c r="G139" s="7" t="str">
        <x:v>自主航天器巡检的两种方法：带安全屏蔽的强化学习与概率路线图</x:v>
      </x:c>
      <x:c r="H139" s="14" t="str">
        <x:v>10.1007/s40295-026-00631-w</x:v>
      </x:c>
      <x:c r="I139" s="12" t="n">
        <x:v>2026</x:v>
      </x:c>
      <x:c r="J139" s="7" t="str">
        <x:v>The Journal of the Astronautical Sciences</x:v>
      </x:c>
      <x:c r="K139" s="7" t="str">
        <x:v>动力学分析导出的安全屏蔽RL；PRM与MIQCQP形成开环路线。</x:v>
      </x:c>
      <x:c r="L139" s="7" t="str">
        <x:v>照明、完整巡检、相对运动和碰撞规避；屏蔽保证的建模条件待提取。</x:v>
      </x:c>
      <x:c r="M139" s="7" t="str">
        <x:v>同一Basilisk／BSK-RL高保真环境中的燃料—时间比较。</x:v>
      </x:c>
      <x:c r="N139" s="7" t="str">
        <x:v>出版社登记摘要与仿真环境节</x:v>
      </x:c>
      <x:c r="O139" s="7" t="str">
        <x:v>沿用前轮提取；待完整全文核查</x:v>
      </x:c>
      <x:c r="P139" s="7" t="str">
        <x:v>尚无经全文核查的精确页码、章节或图表位置。</x:v>
      </x:c>
      <x:c r="Q139" s="7" t="str">
        <x:v>支撑学习安全层和可执行轨迹验证的比较。</x:v>
      </x:c>
      <x:c r="R139" s="7" t="str">
        <x:v>安全屏蔽保证依赖模型与前提；闭环策略和开环轨迹的成本需分开。
2026-09-28正式在线；作者关联稿不另计数。</x:v>
      </x:c>
      <x:c r="S139" s="7" t="str">
        <x:v>第二轮专题精读</x:v>
      </x:c>
      <x:c r="T139" s="7" t="str">
        <x:v>提取动力学、终端状态、安全约束、连续时间检查和故障恢复；核查保证对象及执行反馈。</x:v>
      </x:c>
      <x:c r="U139" s="16" t="str"/>
      <x:c r="V139" s="7" t="str">
        <x:v>https://link.springer.com/article/10.1007/s40295-026-00631-w
https://hanspeterschaub.info/Papers/Stephenson2026a.pdf
https://doi.org/10.1007/s40295-026-00631-w</x:v>
      </x:c>
      <x:c r="W139" s="13"/>
      <x:c r="X139" s="17" t="str"/>
      <x:c r="Y139" s="7" t="str">
        <x:v>研究／方法</x:v>
      </x:c>
    </x:row>
    <x:row r="140" ht="40" customHeight="1">
      <x:c r="A140" s="7" t="str">
        <x:v>O42</x:v>
      </x:c>
      <x:c r="B140" s="7" t="str">
        <x:v>3.3 安全执行与异常恢复</x:v>
      </x:c>
      <x:c r="C140" s="7" t="str">
        <x:v>4 综合评价与研究展望</x:v>
      </x:c>
      <x:c r="D140" s="7" t="str">
        <x:v>Q18、Q23</x:v>
      </x:c>
      <x:c r="E140" s="7" t="str">
        <x:v>怎样快速求解带状态、控制和关键节点要求的交会轨迹？</x:v>
      </x:c>
      <x:c r="F140" s="7" t="str">
        <x:v>Autonomous Trajectory Planning for Rendezvous and Proximity Operations by Conic Optimization</x:v>
      </x:c>
      <x:c r="G140" s="7" t="str">
        <x:v>采用锥优化的交会与近距离操作自主轨迹规划</x:v>
      </x:c>
      <x:c r="H140" s="14" t="str">
        <x:v>10.2514/1.58436</x:v>
      </x:c>
      <x:c r="I140" s="12" t="n">
        <x:v>2013</x:v>
      </x:c>
      <x:c r="J140" s="7" t="str">
        <x:v>Journal of Guidance, Control, and Dynamics</x:v>
      </x:c>
      <x:c r="K140" s="7" t="str">
        <x:v>非线性最优控制经无损松弛与逐次求解转为 SOCP 子问题。</x:v>
      </x:c>
      <x:c r="L140" s="7" t="str">
        <x:v>状态和控制不等式、内部节点及终端等式。</x:v>
      </x:c>
      <x:c r="M140" s="7" t="str">
        <x:v>作者上传期刊稿报告等价性推导与数值实验。</x:v>
      </x:c>
      <x:c r="N140" s="7" t="str">
        <x:v>作者上传的期刊论文摘要与公开正文片段（ResearchGate），DOI 另由 Crossref 核对。</x:v>
      </x:c>
      <x:c r="O140" s="7" t="str">
        <x:v>沿用前轮提取；待完整全文核查</x:v>
      </x:c>
      <x:c r="P140" s="7" t="str">
        <x:v>尚无经全文核查的精确页码、章节或图表位置。</x:v>
      </x:c>
      <x:c r="Q140" s="7" t="str">
        <x:v>作为物理可行轨迹求解器的方法基础。</x:v>
      </x:c>
      <x:c r="R140" s="7" t="str">
        <x:v>松弛等价性、子问题可解性和原问题迭代收敛须分别核对其条件。
2013 期刊版本；本轮未进行定理复核。</x:v>
      </x:c>
      <x:c r="S140" s="7" t="str">
        <x:v>背景或方法参照</x:v>
      </x:c>
      <x:c r="T140" s="7" t="str">
        <x:v>提取动力学、终端状态、安全约束、连续时间检查和故障恢复；核查保证对象及执行反馈。</x:v>
      </x:c>
      <x:c r="U140" s="16" t="str"/>
      <x:c r="V140" s="7" t="str">
        <x:v>https://www.researchgate.net/publication/268557803_Autonomous_Trajectory_Planning_for_Rendezvous_and_Proximity_Operations_by_Conic_Optimization
https://doi.org/10.2514/1.58436</x:v>
      </x:c>
      <x:c r="W140" s="13"/>
      <x:c r="X140" s="17" t="str"/>
      <x:c r="Y140" s="7" t="str">
        <x:v>研究／方法</x:v>
      </x:c>
    </x:row>
    <x:row r="141" ht="40" customHeight="1">
      <x:c r="A141" s="7" t="str">
        <x:v>O45</x:v>
      </x:c>
      <x:c r="B141" s="7" t="str">
        <x:v>3.3 安全执行与异常恢复</x:v>
      </x:c>
      <x:c r="C141" s="7" t="str">
        <x:v>4 综合评价与研究展望</x:v>
      </x:c>
      <x:c r="D141" s="7" t="str">
        <x:v>Q18、Q23</x:v>
      </x:c>
      <x:c r="E141" s="7" t="str">
        <x:v>怎样处理离散节点之间的安全约束，并纳入执行和导航不确定性？</x:v>
      </x:c>
      <x:c r="F141" s="7" t="str">
        <x:v>Continuous-Time Successive Convexification for Passively-Safe Spacecraft Rendezvous on a Near Rectilinear Halo Orbit</x:v>
      </x:c>
      <x:c r="G141" s="7" t="str">
        <x:v>近直线晕轨道被动安全交会的连续时间逐次凸化</x:v>
      </x:c>
      <x:c r="H141" s="14" t="str">
        <x:v>10.2514/6.2026-2446</x:v>
      </x:c>
      <x:c r="I141" s="12" t="n">
        <x:v>2026</x:v>
      </x:c>
      <x:c r="J141" s="7" t="str">
        <x:v>AIAA SCITECH 2026 Forum</x:v>
      </x:c>
      <x:c r="K141" s="7" t="str">
        <x:v>CT-SCVX 将连续路径约束改写为等周积分约束，以时间伸缩优化脉冲时刻，并加入机会约束及反馈。</x:v>
      </x:c>
      <x:c r="L141" s="7" t="str">
        <x:v>接近锥、被动安全、决策节点、插入／执行／导航误差。</x:v>
      </x:c>
      <x:c r="M141" s="7" t="str">
        <x:v>机构公开全文的数值案例与 Monte Carlo。</x:v>
      </x:c>
      <x:c r="N141" s="7" t="str">
        <x:v>MERL 公开全文，第 II—V 节；DOI 同机构 BibTeX 及 Crossref 核对。</x:v>
      </x:c>
      <x:c r="O141" s="7" t="str">
        <x:v>沿用前轮提取；待完整全文核查</x:v>
      </x:c>
      <x:c r="P141" s="7" t="str">
        <x:v>尚无经全文核查的精确页码、章节或图表位置。</x:v>
      </x:c>
      <x:c r="Q141" s="7" t="str">
        <x:v>为连续时间可行性与节点间约束检查建立比较维度。</x:v>
      </x:c>
      <x:c r="R141" s="7" t="str">
        <x:v>NRHO 方法参照。论文指出不支持连续控制输入参数化，也不保证欠推力安全；数值积分及容差仍需复核。
AIAA SciTech 2026 会议。TR2026-016 为公开稿编号，不是另一篇论文。</x:v>
      </x:c>
      <x:c r="S141" s="7" t="str">
        <x:v>背景或方法参照</x:v>
      </x:c>
      <x:c r="T141" s="7" t="str">
        <x:v>提取动力学、终端状态、安全约束、连续时间检查和故障恢复；核查保证对象及执行反馈。</x:v>
      </x:c>
      <x:c r="U141" s="16" t="str"/>
      <x:c r="V141" s="7" t="str">
        <x:v>https://www.merl.com/publications/TR2026-016
https://www.merl.com/publications/docs/TR2026-016.pdf
https://doi.org/10.2514/6.2026-2446</x:v>
      </x:c>
      <x:c r="W141" s="13"/>
      <x:c r="X141" s="17" t="str"/>
      <x:c r="Y141" s="7" t="str">
        <x:v>研究／方法</x:v>
      </x:c>
    </x:row>
    <x:row r="142" ht="40" customHeight="1">
      <x:c r="A142" s="7" t="str">
        <x:v>O100</x:v>
      </x:c>
      <x:c r="B142" s="7" t="str">
        <x:v>3.3 安全执行与异常恢复</x:v>
      </x:c>
      <x:c r="C142" s="7" t="str">
        <x:v>无额外章节</x:v>
      </x:c>
      <x:c r="D142" s="7" t="str">
        <x:v>Q20</x:v>
      </x:c>
      <x:c r="E142" s="7" t="str">
        <x:v>模型参数不确定和执行器故障时，如何恢复参考姿态控制？</x:v>
      </x:c>
      <x:c r="F142" s="7" t="str">
        <x:v>Robust and fault-tolerant spacecraft attitude control based on an extended-observer design</x:v>
      </x:c>
      <x:c r="G142" s="7" t="str">
        <x:v>基于扩展观测器设计的鲁棒容错航天器姿态控制</x:v>
      </x:c>
      <x:c r="H142" s="14" t="str">
        <x:v>10.1007/s11768-022-00101-2</x:v>
      </x:c>
      <x:c r="I142" s="12" t="n">
        <x:v>2022</x:v>
      </x:c>
      <x:c r="J142" s="7" t="str">
        <x:v>Control Theory and Technology</x:v>
      </x:c>
      <x:c r="K142" s="7" t="str">
        <x:v>扩展观测器与鲁棒控制律，处理高频增益矩阵中的不确定性。</x:v>
      </x:c>
      <x:c r="L142" s="7" t="str">
        <x:v>未知但有界的不确定性、惯量误差、载荷变形、执行器故障与外扰。</x:v>
      </x:c>
      <x:c r="M142" s="7" t="str">
        <x:v>控制理论分析与数值仿真。</x:v>
      </x:c>
      <x:c r="N142" s="7" t="str">
        <x:v>出版社登记摘要与公开仿真节</x:v>
      </x:c>
      <x:c r="O142" s="7" t="str">
        <x:v>沿用前轮提取；待完整全文核查</x:v>
      </x:c>
      <x:c r="P142" s="7" t="str">
        <x:v>尚无经全文核查的精确页码、章节或图表位置。</x:v>
      </x:c>
      <x:c r="Q142" s="7" t="str">
        <x:v>说明资源／任务重调度之外还需要执行层容错。</x:v>
      </x:c>
      <x:c r="R142" s="7" t="str">
        <x:v>稳定性依赖所声明的不确定性条件；不直接解决任务分配或故障检测。
2022年正式期刊论文。</x:v>
      </x:c>
      <x:c r="S142" s="7" t="str">
        <x:v>背景或方法参照</x:v>
      </x:c>
      <x:c r="T142" s="7" t="str">
        <x:v>提取动力学、终端状态、安全约束、连续时间检查和故障恢复；核查保证对象及执行反馈。</x:v>
      </x:c>
      <x:c r="U142" s="16" t="str"/>
      <x:c r="V142" s="7" t="str">
        <x:v>https://link.springer.com/article/10.1007/s11768-022-00101-2
https://doi.org/10.1007/s11768-022-00101-2</x:v>
      </x:c>
      <x:c r="W142" s="13"/>
      <x:c r="X142" s="17" t="str"/>
      <x:c r="Y142" s="7" t="str">
        <x:v>研究／方法</x:v>
      </x:c>
    </x:row>
    <x:row r="143" ht="40" customHeight="1">
      <x:c r="A143" s="7" t="str">
        <x:v>O127</x:v>
      </x:c>
      <x:c r="B143" s="7" t="str">
        <x:v>3.3 安全执行与异常恢复</x:v>
      </x:c>
      <x:c r="C143" s="7" t="str">
        <x:v>3.2 动态任务与多资源联合调度</x:v>
      </x:c>
      <x:c r="D143" s="7" t="str">
        <x:v>Q20、Q10</x:v>
      </x:c>
      <x:c r="E143" s="7" t="str">
        <x:v>资源短缺或逻辑条件失效时，如何保留原计划并迅速修复？</x:v>
      </x:c>
      <x:c r="F143" s="7" t="str">
        <x:v>RPRS: a reactive plan repair strategy for rapid response to plan failures of deep space missions</x:v>
      </x:c>
      <x:c r="G143" s="7" t="str">
        <x:v>RPRS：快速响应深空任务计划失败的反应式计划修复策略</x:v>
      </x:c>
      <x:c r="H143" s="14" t="str">
        <x:v>10.1016/j.actaastro.2020.05.011</x:v>
      </x:c>
      <x:c r="I143" s="12" t="n">
        <x:v>2020</x:v>
      </x:c>
      <x:c r="J143" s="7" t="str">
        <x:v>Acta Astronautica</x:v>
      </x:c>
      <x:c r="K143" s="7" t="str">
        <x:v>forwarding dock state时间状态表示，GRDR资源诊断修复与TDPR小偏差搜索，合并重调度。</x:v>
      </x:c>
      <x:c r="L143" s="7" t="str">
        <x:v>持续／并发动作、数值资源、逻辑条件与足够领域知识。</x:v>
      </x:c>
      <x:c r="M143" s="7" t="str">
        <x:v>火星车领域的计划失败模拟实验。</x:v>
      </x:c>
      <x:c r="N143" s="7" t="str">
        <x:v>出版社摘要与机制概述</x:v>
      </x:c>
      <x:c r="O143" s="7" t="str">
        <x:v>沿用前轮提取；待完整全文核查</x:v>
      </x:c>
      <x:c r="P143" s="7" t="str">
        <x:v>尚无经全文核查的精确页码、章节或图表位置。</x:v>
      </x:c>
      <x:c r="Q143" s="7" t="str">
        <x:v>为卫星故障恢复提供计划修复机制，并区分修复与从头求解。</x:v>
      </x:c>
      <x:c r="R143" s="7" t="str">
        <x:v>非LEO星座实测；计划修复一般并不具有比重新规划更低的复杂度保证。
2020年正式期刊论文。</x:v>
      </x:c>
      <x:c r="S143" s="7" t="str">
        <x:v>背景或方法参照</x:v>
      </x:c>
      <x:c r="T143" s="7" t="str">
        <x:v>提取分解、算法作用位置、可行性检查、信息交换、网络异常、理论前提和训练／在线总成本。</x:v>
      </x:c>
      <x:c r="U143" s="16" t="str"/>
      <x:c r="V143" s="7" t="str">
        <x:v>https://www.sciencedirect.com/science/article/abs/pii/S0094576520302940
https://doi.org/10.1016/j.actaastro.2020.05.011</x:v>
      </x:c>
      <x:c r="W143" s="13"/>
      <x:c r="X143" s="17" t="str"/>
      <x:c r="Y143" s="7" t="str">
        <x:v>研究／方法</x:v>
      </x:c>
    </x:row>
    <x:row r="144" ht="40" customHeight="1">
      <x:c r="A144" s="7" t="str">
        <x:v>O08</x:v>
      </x:c>
      <x:c r="B144" s="7" t="str">
        <x:v>3.3 安全执行与异常恢复</x:v>
      </x:c>
      <x:c r="C144" s="7" t="str">
        <x:v>3.2 动态任务与多资源联合调度</x:v>
      </x:c>
      <x:c r="D144" s="7" t="str">
        <x:v>Q18、Q08</x:v>
      </x:c>
      <x:c r="E144" s="7" t="str">
        <x:v>高推力与低推力如何组合用于多目标交会？</x:v>
      </x:c>
      <x:c r="F144" s="7" t="str">
        <x:v>Optimal Multitarget Rendezvous Using Hybrid Propulsion System</x:v>
      </x:c>
      <x:c r="G144" s="7" t="str">
        <x:v>采用混合推进系统的最优多目标交会</x:v>
      </x:c>
      <x:c r="H144" s="14" t="str">
        <x:v>10.2514/1.A35540</x:v>
      </x:c>
      <x:c r="I144" s="12" t="n">
        <x:v>2023</x:v>
      </x:c>
      <x:c r="J144" s="7" t="str">
        <x:v>Journal of Spacecraft and Rockets</x:v>
      </x:c>
      <x:c r="K144" s="7" t="str">
        <x:v>当前仅作主题定位；具体模型与算法待一手全文提取。</x:v>
      </x:c>
      <x:c r="L144" s="7" t="str">
        <x:v>关键假设与约束待全文提取。</x:v>
      </x:c>
      <x:c r="M144" s="7" t="str">
        <x:v>验证类型、设置和结果待全文提取。</x:v>
      </x:c>
      <x:c r="N144" s="7" t="str">
        <x:v>作者机构编目；完整正文待获取</x:v>
      </x:c>
      <x:c r="O144" s="7" t="str">
        <x:v>题名或片段定位；技术内容待核</x:v>
      </x:c>
      <x:c r="P144" s="7" t="str">
        <x:v>尚无经全文核查的精确页码、章节或图表位置。</x:v>
      </x:c>
      <x:c r="Q144" s="7" t="str">
        <x:v>用于推进策略与轨迹—序列耦合的补充，暂不据此作性能判断。</x:v>
      </x:c>
      <x:c r="R144" s="7" t="str">
        <x:v>机构记录类型为Comment/debate；方法贡献及正式文章类型待核，不擅自称大规模实验论文。
机构记录类型为Comment/debate；方法贡献及正式文章类型待核，不擅自称大规模实验论文。</x:v>
      </x:c>
      <x:c r="S144" s="7" t="str">
        <x:v>待全文判定</x:v>
      </x:c>
      <x:c r="T144" s="7" t="str">
        <x:v>提取动力学、终端状态、安全约束、连续时间检查和故障恢复；核查保证对象及执行反馈。</x:v>
      </x:c>
      <x:c r="U144" s="16" t="str"/>
      <x:c r="V144" s="7" t="str">
        <x:v>https://pure.kaist.ac.kr/en/publications/optimal-multitarget-rendezvous-using-hybrid-propulsion-system/
https://doi.org/10.2514/1.A35540</x:v>
      </x:c>
      <x:c r="W144" s="13"/>
      <x:c r="X144" s="17" t="str"/>
      <x:c r="Y144" s="7" t="str">
        <x:v>研究／方法</x:v>
      </x:c>
    </x:row>
    <x:row r="145" ht="40" customHeight="1">
      <x:c r="A145" s="7" t="str">
        <x:v>O99</x:v>
      </x:c>
      <x:c r="B145" s="7" t="str">
        <x:v>3.4 跨层耦合与闭环协同</x:v>
      </x:c>
      <x:c r="C145" s="7" t="str">
        <x:v>3.3 安全执行与异常恢复
4 综合评价与研究展望</x:v>
      </x:c>
      <x:c r="D145" s="7" t="str">
        <x:v>Q21、Q20、Q23</x:v>
      </x:c>
      <x:c r="E145" s="7" t="str">
        <x:v>如何将遥测、模型验证与配置生成串联成可追溯的更新过程？</x:v>
      </x:c>
      <x:c r="F145" s="7" t="str">
        <x:v>A model-driven framework for supervised reconfiguration of satellite schedulers</x:v>
      </x:c>
      <x:c r="G145" s="7" t="str">
        <x:v>卫星调度器受监督重配置的模型驱动框架</x:v>
      </x:c>
      <x:c r="H145" s="14" t="str">
        <x:v>10.1007/s10270-026-01426-1</x:v>
      </x:c>
      <x:c r="I145" s="12" t="n">
        <x:v>2026</x:v>
      </x:c>
      <x:c r="J145" s="7" t="str">
        <x:v>Software and Systems Modeling</x:v>
      </x:c>
      <x:c r="K145" s="7" t="str">
        <x:v>Ecore元模型、EVL验证、数字孪生监测、仿真辅助优化和解释器配置生成。</x:v>
      </x:c>
      <x:c r="L145" s="7" t="str">
        <x:v>严格时序、依赖、资源约束；最终部署保留人工监督。</x:v>
      </x:c>
      <x:c r="M145" s="7" t="str">
        <x:v>专家共鸣研究与工具链加载、检查、生成、追溯验证。</x:v>
      </x:c>
      <x:c r="N145" s="7" t="str">
        <x:v>出版社全文摘要与框架节定向阅读</x:v>
      </x:c>
      <x:c r="O145" s="7" t="str">
        <x:v>沿用前轮提取；待完整全文核查</x:v>
      </x:c>
      <x:c r="P145" s="7" t="str">
        <x:v>尚无经全文核查的精确页码、章节或图表位置。</x:v>
      </x:c>
      <x:c r="Q145" s="7" t="str">
        <x:v>扩展管理架构到受控更新、可解释验证与配置发布。</x:v>
      </x:c>
      <x:c r="R145" s="7" t="str">
        <x:v>专家认可和工具链验证不等于在轨性能改善；对象是软件调度配置，不是多星观测分配。
2026-09-17在线发表；运行更新由监督者授权。</x:v>
      </x:c>
      <x:c r="S145" s="7" t="str">
        <x:v>首轮锚点精读</x:v>
      </x:c>
      <x:c r="T145" s="7" t="str">
        <x:v>数字孪生、规则验证与配置生成如何衔接？专家评价与工具链验证分别支持什么结论？</x:v>
      </x:c>
      <x:c r="U145" s="16" t="str"/>
      <x:c r="V145" s="7" t="str">
        <x:v>https://link.springer.com/article/10.1007/s10270-026-01426-1
https://doi.org/10.1007/s10270-026-01426-1</x:v>
      </x:c>
      <x:c r="W145" s="13"/>
      <x:c r="X145" s="17" t="str"/>
      <x:c r="Y145" s="7" t="str">
        <x:v>研究／方法</x:v>
      </x:c>
    </x:row>
    <x:row r="146" ht="38" customHeight="1">
      <x:c r="A146" s="7" t="str">
        <x:v>O122</x:v>
      </x:c>
      <x:c r="B146" s="7" t="str">
        <x:v>3.4 跨层耦合与闭环协同</x:v>
      </x:c>
      <x:c r="C146" s="7" t="str">
        <x:v>4 综合评价与研究展望
3.2 动态任务与多资源联合调度</x:v>
      </x:c>
      <x:c r="D146" s="7" t="str">
        <x:v>Q21、Q23、Q13</x:v>
      </x:c>
      <x:c r="E146" s="7" t="str">
        <x:v>资源受限的小卫星能否在轨自主安排处理、数据产品和下传？</x:v>
      </x:c>
      <x:c r="F146" s="7" t="str">
        <x:v>Onboard Autonomy on the Intelligent Payload Experiment CubeSat Mission</x:v>
      </x:c>
      <x:c r="G146" s="7" t="str">
        <x:v>智能载荷实验（IPEX）CubeSat任务的星上自主运行</x:v>
      </x:c>
      <x:c r="H146" s="14" t="str">
        <x:v>10.2514/1.I010386</x:v>
      </x:c>
      <x:c r="I146" s="12" t="n">
        <x:v>2017</x:v>
      </x:c>
      <x:c r="J146" s="7" t="str">
        <x:v>Journal of Aerospace Information Systems</x:v>
      </x:c>
      <x:c r="K146" s="7" t="str">
        <x:v>CASPER持续规划／重规划与任务执行；结合机载图像处理与产品选择。</x:v>
      </x:c>
      <x:c r="L146" s="7" t="str">
        <x:v>存储、CPU、功率和下传带宽等实际资源。</x:v>
      </x:c>
      <x:c r="M146" s="7" t="str">
        <x:v>在轨技术演示与任务运行经验。</x:v>
      </x:c>
      <x:c r="N146" s="7" t="str">
        <x:v>正式期刊编目、JPL作者任务说明与关联运行经验稿</x:v>
      </x:c>
      <x:c r="O146" s="7" t="str">
        <x:v>沿用前轮提取；待完整全文核查</x:v>
      </x:c>
      <x:c r="P146" s="7" t="str">
        <x:v>尚无经全文核查的精确页码、章节或图表位置。</x:v>
      </x:c>
      <x:c r="Q146" s="7" t="str">
        <x:v>提供实际飞行证据，连接状态、规划、处理和执行。</x:v>
      </x:c>
      <x:c r="R146" s="7" t="str">
        <x:v>HyspIRI是所服务的拟议任务概念；不能将IPEX验证当作HyspIRI或大型星座已部署。
正式期刊题名无括号IPEX。正式卷期2017；关联2014／2015会议与2016在线线索不重复计数。</x:v>
      </x:c>
      <x:c r="S146" s="7" t="str">
        <x:v>首轮锚点精读</x:v>
      </x:c>
      <x:c r="T146" s="7" t="str">
        <x:v>哪些操作真正由星上自主规划控制？飞行时间、资源、异常和地面监督范围是什么？</x:v>
      </x:c>
      <x:c r="U146" s="16" t="str"/>
      <x:c r="V146" s="7" t="str">
        <x:v>https://ai.jpl.nasa.gov/public/people/jdoubleday/
https://doi.org/10.2514/1.I010386</x:v>
      </x:c>
      <x:c r="W146" s="13"/>
      <x:c r="X146" s="17" t="str"/>
      <x:c r="Y146" s="7" t="str">
        <x:v>研究／方法</x:v>
      </x:c>
    </x:row>
    <x:row r="147" ht="40" customHeight="1">
      <x:c r="A147" s="7" t="str">
        <x:v>O111</x:v>
      </x:c>
      <x:c r="B147" s="7" t="str">
        <x:v>3.4 跨层耦合与闭环协同</x:v>
      </x:c>
      <x:c r="C147" s="7" t="str">
        <x:v>3.2 动态任务与多资源联合调度
2 系统框架与问题建模</x:v>
      </x:c>
      <x:c r="D147" s="7" t="str">
        <x:v>Q21、Q11、Q02</x:v>
      </x:c>
      <x:c r="E147" s="7" t="str">
        <x:v>卫星子系统耦合状态变化时，如何选择合适的任务规划策略？</x:v>
      </x:c>
      <x:c r="F147" s="7" t="str">
        <x:v>Reasoning-Based Scheduling Method for Agile Earth Observation Satellite with Multi-Subsystem Coupling</x:v>
      </x:c>
      <x:c r="G147" s="7" t="str">
        <x:v>考虑多子系统耦合的敏捷对地观测卫星推理式调度方法</x:v>
      </x:c>
      <x:c r="H147" s="14" t="str">
        <x:v>10.3390/rs15061577</x:v>
      </x:c>
      <x:c r="I147" s="12" t="n">
        <x:v>2023</x:v>
      </x:c>
      <x:c r="J147" s="7" t="str">
        <x:v>Remote Sensing</x:v>
      </x:c>
      <x:c r="K147" s="7" t="str">
        <x:v>预测能量、观测数据量、可下传量和占用存储；按知识规则选择调度策略。</x:v>
      </x:c>
      <x:c r="L147" s="7" t="str">
        <x:v>多子系统耦合、存储、充电与传输状态。</x:v>
      </x:c>
      <x:c r="M147" s="7" t="str">
        <x:v>出版社公开全文的调度与比较实验。</x:v>
      </x:c>
      <x:c r="N147" s="7" t="str">
        <x:v>出版社全文摘要与方法节</x:v>
      </x:c>
      <x:c r="O147" s="7" t="str">
        <x:v>沿用前轮提取；待完整全文核查</x:v>
      </x:c>
      <x:c r="P147" s="7" t="str">
        <x:v>尚无经全文核查的精确页码、章节或图表位置。</x:v>
      </x:c>
      <x:c r="Q147" s="7" t="str">
        <x:v>补充知识推理与模型预测，避免全章只比较学习算法。</x:v>
      </x:c>
      <x:c r="R147" s="7" t="str">
        <x:v>基于预设规则的状态适应，不等于所有未知工况下自主学习；单星证据需单列。
2023-03-14发表。</x:v>
      </x:c>
      <x:c r="S147" s="7" t="str">
        <x:v>第二轮专题精读</x:v>
      </x:c>
      <x:c r="T147" s="7" t="str">
        <x:v>提取节点／代理定义、状态与任务数据、规划触发、执行接口、人工监督、故障检测及恢复动作。</x:v>
      </x:c>
      <x:c r="U147" s="16" t="str"/>
      <x:c r="V147" s="7" t="str">
        <x:v>https://www.mdpi.com/2072-4292/15/6/1577
https://doi.org/10.3390/rs15061577</x:v>
      </x:c>
      <x:c r="W147" s="13"/>
      <x:c r="X147" s="17" t="str"/>
      <x:c r="Y147" s="7" t="str">
        <x:v>研究／方法</x:v>
      </x:c>
    </x:row>
    <x:row r="148" ht="54" customHeight="1">
      <x:c r="A148" s="7" t="str">
        <x:v>O64</x:v>
      </x:c>
      <x:c r="B148" s="7" t="str">
        <x:v>4 综合评价与研究展望</x:v>
      </x:c>
      <x:c r="C148" s="7" t="str">
        <x:v>2 系统框架与问题建模</x:v>
      </x:c>
      <x:c r="D148" s="7" t="str">
        <x:v>Q22、Q03、Q24</x:v>
      </x:c>
      <x:c r="E148" s="7" t="str">
        <x:v>数据集、评价指标与处理方式是否使深度异常检测性能被高估？</x:v>
      </x:c>
      <x:c r="F148" s="7" t="str">
        <x:v>Unmasking overestimation: a re-evaluation of deep anomaly detection in spacecraft telemetry</x:v>
      </x:c>
      <x:c r="G148" s="7" t="str">
        <x:v>揭示性能高估：航天器遥测深度异常检测的重新评估</x:v>
      </x:c>
      <x:c r="H148" s="14" t="str">
        <x:v>10.1007/s12567-023-00529-5</x:v>
      </x:c>
      <x:c r="I148" s="12" t="n">
        <x:v>2024</x:v>
      </x:c>
      <x:c r="J148" s="7" t="str">
        <x:v>CEAS Space Journal</x:v>
      </x:c>
      <x:c r="K148" s="7" t="str">
        <x:v>重评深度方法和简单基线，分析评价过程及点调整等处理导致的偏差。</x:v>
      </x:c>
      <x:c r="L148" s="7" t="str">
        <x:v>异常事件级与点级指标、数据划分和基准代表性。</x:v>
      </x:c>
      <x:c r="M148" s="7" t="str">
        <x:v>真实卫星遥测与公开数据集的重评，比较指标、阈值和简单基线。</x:v>
      </x:c>
      <x:c r="N148" s="7" t="str">
        <x:v>2026-10-09核查出版社摘要及方法、评价和数据设置片段。</x:v>
      </x:c>
      <x:c r="O148" s="7" t="str">
        <x:v>本轮已核原文局部；完整精读待完成</x:v>
      </x:c>
      <x:c r="P148" s="7" t="str">
        <x:v>出版社HTML：§3.2指标；§3.3比较评价；§4.1.1–4.1.3数据及设置。</x:v>
      </x:c>
      <x:c r="Q148" s="7" t="str">
        <x:v>支撑验证章节：避免只按单一准确率或经过点调整的高F1排名。</x:v>
      </x:c>
      <x:c r="R148" s="7" t="str">
        <x:v>阈值选择和指标处理影响结果；结论需保留数据与评价条件，不能外推所有深度方法。
DOI含2023，正式发表于2024。</x:v>
      </x:c>
      <x:c r="S148" s="7" t="str">
        <x:v>首轮锚点精读</x:v>
      </x:c>
      <x:c r="T148" s="7" t="str">
        <x:v>哪些指标和数据处理产生性能高估？简单基线、事件指标与点调整怎样比较？</x:v>
      </x:c>
      <x:c r="U148" s="16" t="str"/>
      <x:c r="V148" s="7" t="str">
        <x:v>https://link.springer.com/article/10.1007/s12567-023-00529-5
https://repository.tudelft.nl/record/uuid%3Af227fb1c-1c32-491f-9115-f23b9f102749
https://doi.org/10.1007/s12567-023-00529-5</x:v>
      </x:c>
      <x:c r="W148" s="13" t="d">
        <x:v>2026-10-09T00:00:00.000Z</x:v>
      </x:c>
      <x:c r="X148" s="17" t="str"/>
      <x:c r="Y148" s="7" t="str">
        <x:v>研究／方法</x:v>
      </x:c>
    </x:row>
    <x:row r="149" ht="40" customHeight="1">
      <x:c r="A149" s="7" t="str">
        <x:v>O119</x:v>
      </x:c>
      <x:c r="B149" s="7" t="str">
        <x:v>4 综合评价与研究展望</x:v>
      </x:c>
      <x:c r="C149" s="7" t="str">
        <x:v>3.2 动态任务与多资源联合调度</x:v>
      </x:c>
      <x:c r="D149" s="7" t="str">
        <x:v>Q22、Q09</x:v>
      </x:c>
      <x:c r="E149" s="7" t="str">
        <x:v>在共同动力学与资源环境中，不同学习／搜索算法表现如何？</x:v>
      </x:c>
      <x:c r="F149" s="7" t="str">
        <x:v>A comparative analysis of reinforcement learning algorithms for earth-observing satellite scheduling</x:v>
      </x:c>
      <x:c r="G149" s="7" t="str">
        <x:v>对地观测卫星调度强化学习算法的比较分析</x:v>
      </x:c>
      <x:c r="H149" s="14" t="str">
        <x:v>10.3389/frspt.2023.1263489</x:v>
      </x:c>
      <x:c r="I149" s="12" t="n">
        <x:v>2023</x:v>
      </x:c>
      <x:c r="J149" s="7" t="str">
        <x:v>Frontiers in Space Technologies</x:v>
      </x:c>
      <x:c r="K149" s="7" t="str">
        <x:v>Basilisk仿真，比较学习、MCTS、遗传算法与相关策略；公开bsk_rl实现接口。</x:v>
      </x:c>
      <x:c r="L149" s="7" t="str">
        <x:v>姿态与电源等模型；训练和评价策略及屏蔽条件待逐项提取。</x:v>
      </x:c>
      <x:c r="M149" s="7" t="str">
        <x:v>统一仿真环境的算法比较与公开实现。</x:v>
      </x:c>
      <x:c r="N149" s="7" t="str">
        <x:v>出版社全文的仿真与开源实现节</x:v>
      </x:c>
      <x:c r="O149" s="7" t="str">
        <x:v>沿用前轮提取；待完整全文核查</x:v>
      </x:c>
      <x:c r="P149" s="7" t="str">
        <x:v>尚无经全文核查的精确页码、章节或图表位置。</x:v>
      </x:c>
      <x:c r="Q149" s="7" t="str">
        <x:v>提供可复现算法比较与高保真环境配置参考。</x:v>
      </x:c>
      <x:c r="R149" s="7" t="str">
        <x:v>单星／特定任务环境不能直接证明千星可扩展；比较应包含训练成本。
2023年正式期刊论文；与后续BSK-RL软件白皮书不同用途。</x:v>
      </x:c>
      <x:c r="S149" s="7" t="str">
        <x:v>首轮锚点精读</x:v>
      </x:c>
      <x:c r="T149" s="7" t="str">
        <x:v>算法是否使用同一环境和约束？训练总成本、数据／工况划分、基线和失败率怎样报告？</x:v>
      </x:c>
      <x:c r="U149" s="16" t="str"/>
      <x:c r="V149" s="7" t="str">
        <x:v>https://www.frontiersin.org/journals/space-technologies/articles/10.3389/frspt.2023.1263489/full
https://doi.org/10.3389/frspt.2023.1263489</x:v>
      </x:c>
      <x:c r="W149" s="13"/>
      <x:c r="X149" s="17" t="str"/>
      <x:c r="Y149" s="7" t="str">
        <x:v>研究／方法</x:v>
      </x:c>
    </x:row>
    <x:row r="150" ht="38" customHeight="1">
      <x:c r="A150" s="7" t="str">
        <x:v>O124</x:v>
      </x:c>
      <x:c r="B150" s="7" t="str">
        <x:v>4 综合评价与研究展望</x:v>
      </x:c>
      <x:c r="C150" s="7" t="str">
        <x:v>无额外章节</x:v>
      </x:c>
      <x:c r="D150" s="7" t="str">
        <x:v>Q23、Q22、Q24</x:v>
      </x:c>
      <x:c r="E150" s="7" t="str">
        <x:v>模式管理规模与组件交互复杂度如何影响模型检测成本？</x:v>
      </x:c>
      <x:c r="F150" s="7" t="str">
        <x:v>Model checking of spacecraft operational designs: a scalability analysis</x:v>
      </x:c>
      <x:c r="G150" s="7" t="str">
        <x:v>航天器运行设计的模型检测：可扩展性分析</x:v>
      </x:c>
      <x:c r="H150" s="14" t="str">
        <x:v>10.1007/s10270-025-01281-6</x:v>
      </x:c>
      <x:c r="I150" s="12" t="n">
        <x:v>2025</x:v>
      </x:c>
      <x:c r="J150" s="7" t="str">
        <x:v>Software and Systems Modeling</x:v>
      </x:c>
      <x:c r="K150" s="7" t="str">
        <x:v>可扩展模式管理代表模型，转换到多种模型检测工具，比较算法和通信方案。</x:v>
      </x:c>
      <x:c r="L150" s="7" t="str">
        <x:v>状态空间爆炸、行为模型与时序逻辑规格。</x:v>
      </x:c>
      <x:c r="M150" s="7" t="str">
        <x:v>模型检测性能比较；出版社列公开实验artifact。</x:v>
      </x:c>
      <x:c r="N150" s="7" t="str">
        <x:v>出版社登记摘要、DLR机构公开稿与实验概述</x:v>
      </x:c>
      <x:c r="O150" s="7" t="str">
        <x:v>沿用前轮提取；待完整全文核查</x:v>
      </x:c>
      <x:c r="P150" s="7" t="str">
        <x:v>尚无经全文核查的精确页码、章节或图表位置。</x:v>
      </x:c>
      <x:c r="Q150" s="7" t="str">
        <x:v>补齐规模之外的形式化验证成本与可复现证据。</x:v>
      </x:c>
      <x:c r="R150" s="7" t="str">
        <x:v>形式模型满足规格不表示真实软件、传感器和动力学全部安全；需核查抽象一致性。
2025年正式期刊论文；关联artifact DOI 10.5281/zenodo.13998669不另计论文数。</x:v>
      </x:c>
      <x:c r="S150" s="7" t="str">
        <x:v>首轮锚点精读</x:v>
      </x:c>
      <x:c r="T150" s="7" t="str">
        <x:v>模式管理模型如何扩展？各工具的性能与所验证性质是什么，抽象有哪些限制？</x:v>
      </x:c>
      <x:c r="U150" s="16" t="str"/>
      <x:c r="V150" s="7" t="str">
        <x:v>https://link.springer.com/article/10.1007/s10270-025-01281-6
https://elib.dlr.de/214190/1/s10270-025-01281-6.pdf
https://doi.org/10.1007/s10270-025-01281-6</x:v>
      </x:c>
      <x:c r="W150" s="13"/>
      <x:c r="X150" s="17" t="str"/>
      <x:c r="Y150" s="7" t="str">
        <x:v>研究／方法</x:v>
      </x:c>
    </x:row>
    <x:row r="151" ht="40" customHeight="1">
      <x:c r="A151" s="7" t="str">
        <x:v>O118</x:v>
      </x:c>
      <x:c r="B151" s="7" t="str">
        <x:v>4 综合评价与研究展望</x:v>
      </x:c>
      <x:c r="C151" s="7" t="str">
        <x:v>无额外章节</x:v>
      </x:c>
      <x:c r="D151" s="7" t="str">
        <x:v>Q23、Q22</x:v>
      </x:c>
      <x:c r="E151" s="7" t="str">
        <x:v>如何组合多体动力学、模块与飞行软件，构造可重复的仿真？</x:v>
      </x:c>
      <x:c r="F151" s="7" t="str">
        <x:v>Basilisk: A Flexible, Scalable and Modular Astrodynamics Simulation Framework</x:v>
      </x:c>
      <x:c r="G151" s="7" t="str">
        <x:v>Basilisk：灵活、可扩展且模块化的航天动力学仿真框架</x:v>
      </x:c>
      <x:c r="H151" s="14" t="str">
        <x:v>10.2514/1.I010762</x:v>
      </x:c>
      <x:c r="I151" s="12" t="n">
        <x:v>2020</x:v>
      </x:c>
      <x:c r="J151" s="7" t="str">
        <x:v>Journal of Aerospace Information Systems</x:v>
      </x:c>
      <x:c r="K151" s="7" t="str">
        <x:v>模型与运行循环解耦、消息传递模块结构、C／C++计算与Python接口。</x:v>
      </x:c>
      <x:c r="L151" s="7" t="str">
        <x:v>配置模块决定仿真范围；不能把框架名称当作自动涵盖全部物理效应。</x:v>
      </x:c>
      <x:c r="M151" s="7" t="str">
        <x:v>仿真框架设计与实现。</x:v>
      </x:c>
      <x:c r="N151" s="7" t="str">
        <x:v>作者公开正式期刊全文</x:v>
      </x:c>
      <x:c r="O151" s="7" t="str">
        <x:v>沿用前轮提取；待完整全文核查</x:v>
      </x:c>
      <x:c r="P151" s="7" t="str">
        <x:v>尚无经全文核查的精确页码、章节或图表位置。</x:v>
      </x:c>
      <x:c r="Q151" s="7" t="str">
        <x:v>为验证章节明确仿真环境、模型配置与复现要求。</x:v>
      </x:c>
      <x:c r="R151" s="7" t="str">
        <x:v>高保真度取决于实际使用的模型和参数；工具存在不等于所有调度策略被验证。
2020年正式期刊框架论文。</x:v>
      </x:c>
      <x:c r="S151" s="7" t="str">
        <x:v>第二轮专题精读</x:v>
      </x:c>
      <x:c r="T151" s="7" t="str">
        <x:v>提取规模分母、时域、实例生成、重复实验、硬件、数据划分、基线、总成本与验证对象。</x:v>
      </x:c>
      <x:c r="U151" s="16" t="str"/>
      <x:c r="V151" s="7" t="str">
        <x:v>https://www.hanspeterschaub.info/PapersPrivate/Kenneally2020a.pdf
https://doi.org/10.2514/1.I010762</x:v>
      </x:c>
      <x:c r="W151" s="13"/>
      <x:c r="X151" s="17" t="str"/>
      <x:c r="Y151" s="7" t="str">
        <x:v>研究／方法</x:v>
      </x:c>
    </x:row>
    <x:row r="152" ht="40" customHeight="1">
      <x:c r="A152" s="7" t="str">
        <x:v>O88</x:v>
      </x:c>
      <x:c r="B152" s="7" t="str">
        <x:v>4 综合评价与研究展望</x:v>
      </x:c>
      <x:c r="C152" s="7" t="str">
        <x:v>3.3 安全执行与异常恢复</x:v>
      </x:c>
      <x:c r="D152" s="7" t="str">
        <x:v>Q22、Q19</x:v>
      </x:c>
      <x:c r="E152" s="7" t="str">
        <x:v>能否用早期接近消息预测事件末期碰撞风险？</x:v>
      </x:c>
      <x:c r="F152" s="7" t="str">
        <x:v>Spacecraft collision avoidance challenge: Design and results of a machine learning competition</x:v>
      </x:c>
      <x:c r="G152" s="7" t="str">
        <x:v>航天器碰撞规避挑战赛：机器学习竞赛的设计与结果</x:v>
      </x:c>
      <x:c r="H152" s="14" t="str">
        <x:v>10.1007/s42064-021-0101-5</x:v>
      </x:c>
      <x:c r="I152" s="12" t="n">
        <x:v>2022</x:v>
      </x:c>
      <x:c r="J152" s="7" t="str">
        <x:v>Astrodynamics</x:v>
      </x:c>
      <x:c r="K152" s="7" t="str">
        <x:v>机器学习竞赛设计、数据集、评价指标与参赛方法结果分析。</x:v>
      </x:c>
      <x:c r="L152" s="7" t="str">
        <x:v>事件时间序列与风险标签；数据泄漏、评价方式与更新时点。</x:v>
      </x:c>
      <x:c r="M152" s="7" t="str">
        <x:v>真实接近消息基准与竞赛结果。</x:v>
      </x:c>
      <x:c r="N152" s="7" t="str">
        <x:v>出版社正式PDF与ESA竞赛入口</x:v>
      </x:c>
      <x:c r="O152" s="7" t="str">
        <x:v>沿用前轮提取；待完整全文核查</x:v>
      </x:c>
      <x:c r="P152" s="7" t="str">
        <x:v>尚无经全文核查的精确页码、章节或图表位置。</x:v>
      </x:c>
      <x:c r="Q152" s="7" t="str">
        <x:v>连接数据驱动风险预测与后续规避决策，并补充公开基准。</x:v>
      </x:c>
      <x:c r="R152" s="7" t="str">
        <x:v>预测最终风险的成绩不能当作碰撞规避机动的执行成功率。
2021年在线，Astrodynamics第6卷第2期为2022；按卷期年编目。</x:v>
      </x:c>
      <x:c r="S152" s="7" t="str">
        <x:v>背景或方法参照</x:v>
      </x:c>
      <x:c r="T152" s="7" t="str">
        <x:v>提取动力学、终端状态、安全约束、连续时间检查和故障恢复；核查保证对象及执行反馈。</x:v>
      </x:c>
      <x:c r="U152" s="16" t="str"/>
      <x:c r="V152" s="7" t="str">
        <x:v>https://file.sciopen.com/sciopen_public/1529721736476020737.pdf
https://kelvins.esa.int/collision-avoidance-challenge/results/
https://doi.org/10.1007/s42064-021-0101-5</x:v>
      </x:c>
      <x:c r="W152" s="13"/>
      <x:c r="X152" s="17" t="str"/>
      <x:c r="Y152" s="7" t="str">
        <x:v>研究／方法</x:v>
      </x:c>
    </x:row>
    <x:row r="153" ht="38" customHeight="1">
      <x:c r="A153" s="7" t="str">
        <x:v>O123</x:v>
      </x:c>
      <x:c r="B153" s="7" t="str">
        <x:v>4 综合评价与研究展望</x:v>
      </x:c>
      <x:c r="C153" s="7" t="str">
        <x:v>无额外章节</x:v>
      </x:c>
      <x:c r="D153" s="7" t="str">
        <x:v>Q23</x:v>
      </x:c>
      <x:c r="E153" s="7" t="str">
        <x:v>形式化方法与测试、运行监控和操作流程如何共同支持可信自主？</x:v>
      </x:c>
      <x:c r="F153" s="7" t="str">
        <x:v>Formal Methods for Trusted Space Autonomy: Boon or Bane?</x:v>
      </x:c>
      <x:c r="G153" s="7" t="str">
        <x:v>可信空间自主系统的形式化方法：助力还是阻碍？</x:v>
      </x:c>
      <x:c r="H153" s="14" t="str">
        <x:v>10.1007/978-3-031-06773-0_1</x:v>
      </x:c>
      <x:c r="I153" s="12" t="n">
        <x:v>2022</x:v>
      </x:c>
      <x:c r="J153" s="7" t="str">
        <x:v>Lecture Notes in Computer Science</x:v>
      </x:c>
      <x:c r="K153" s="7" t="str">
        <x:v>结合已部署任务经验，分析形式化验证、运行时验证和常规测试的适用范围。</x:v>
      </x:c>
      <x:c r="L153" s="7" t="str">
        <x:v>复杂时序／资源、规格提取与模型表达；方法实施依赖专门知识。</x:v>
      </x:c>
      <x:c r="M153" s="7" t="str">
        <x:v>任务经验与验证方法的技术综合。</x:v>
      </x:c>
      <x:c r="N153" s="7" t="str">
        <x:v>JPL作者公开全文与正式LNCS编目</x:v>
      </x:c>
      <x:c r="O153" s="7" t="str">
        <x:v>沿用前轮提取；待完整全文核查</x:v>
      </x:c>
      <x:c r="P153" s="7" t="str">
        <x:v>尚无经全文核查的精确页码、章节或图表位置。</x:v>
      </x:c>
      <x:c r="Q153" s="7" t="str">
        <x:v>构建验证层级与研究缺口讨论。</x:v>
      </x:c>
      <x:c r="R153" s="7" t="str">
        <x:v>该文不提供新的千星调度实验或通用安全证明；属于验证方法论支撑。
NFM 2022会议论文；出版社题名含不换行空格，显示时统一为空格。</x:v>
      </x:c>
      <x:c r="S153" s="7" t="str">
        <x:v>背景或方法参照</x:v>
      </x:c>
      <x:c r="T153" s="7" t="str">
        <x:v>提取规模分母、时域、实例生成、重复实验、硬件、数据划分、基线、总成本与验证对象。</x:v>
      </x:c>
      <x:c r="U153" s="16" t="str"/>
      <x:c r="V153" s="7" t="str">
        <x:v>https://ai.jpl.nasa.gov/public/documents/papers/chien-nfm-2022.pdf
https://link.springer.com/chapter/10.1007/978-3-031-06773-0_1
https://doi.org/10.1007/978-3-031-06773-0_1</x:v>
      </x:c>
      <x:c r="W153" s="13"/>
      <x:c r="X153" s="17" t="str"/>
      <x:c r="Y153" s="7" t="str">
        <x:v>研究／方法</x:v>
      </x:c>
    </x:row>
  </x:sheetData>
  <x:conditionalFormatting sqref="O6:O153">
    <x:cfRule type="containsText" dxfId="0" priority="1" operator="containsText" text="技术内容待核"/>
    <x:cfRule type="containsText" dxfId="1" priority="2" operator="containsText" text="已核原文局部"/>
  </x:conditionalFormatting>
  <x:dataValidations count="1">
    <x:dataValidation type="list" sqref="S6:S153">
      <x:formula1>"首轮锚点精读,第二轮专题精读,背景或方法参照,待全文判定"</x:formula1>
    </x:dataValidation>
  </x:dataValidations>
  <x:pageMargins left="0.7" right="0.7" top="0.75" bottom="0.75" header="0.3" footer="0.3"/>
  <x:tableParts count="1">
    <x:tablePart xmlns:r="http://schemas.openxmlformats.org/officeDocument/2006/relationships" r:id="Rae4ef08a65254bfa"/>
  </x:tableParts>
</x:worksheet>
</file>